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V_Natthapat\Downloads\"/>
    </mc:Choice>
  </mc:AlternateContent>
  <xr:revisionPtr revIDLastSave="0" documentId="13_ncr:1_{BCBDC422-62BE-483E-B58C-1B158B1CCD2A}" xr6:coauthVersionLast="47" xr6:coauthVersionMax="47" xr10:uidLastSave="{00000000-0000-0000-0000-000000000000}"/>
  <bookViews>
    <workbookView xWindow="-19310" yWindow="-630" windowWidth="19420" windowHeight="10300" activeTab="2" xr2:uid="{00000000-000D-0000-FFFF-FFFF00000000}"/>
  </bookViews>
  <sheets>
    <sheet name="Instructions" sheetId="1" r:id="rId1"/>
    <sheet name="Assembly_BOM" sheetId="2" r:id="rId2"/>
    <sheet name="Transform_PVS" sheetId="3" r:id="rId3"/>
    <sheet name="Transform_PSP" sheetId="4" r:id="rId4"/>
    <sheet name="UV-CODE" sheetId="9" state="hidden" r:id="rId5"/>
    <sheet name="V" sheetId="7" state="hidden" r:id="rId6"/>
    <sheet name="M2" sheetId="8" state="hidden" r:id="rId7"/>
  </sheets>
  <definedNames>
    <definedName name="_xlnm._FilterDatabase" localSheetId="1" hidden="1">Assembly_BOM!$A$1:$V$387</definedName>
    <definedName name="_xlnm._FilterDatabase" localSheetId="6" hidden="1">'M2'!$A$1:$K$96</definedName>
    <definedName name="_xlnm._FilterDatabase" localSheetId="3" hidden="1">Transform_PSP!$A$1:$Q$118</definedName>
    <definedName name="_xlnm._FilterDatabase" localSheetId="4" hidden="1">'UV-CODE'!$A$1:$I$61</definedName>
    <definedName name="_xlnm._FilterDatabase" localSheetId="5" hidden="1">V!$A$1:$M$1310</definedName>
    <definedName name="_xlnm.Print_Area" localSheetId="4">'UV-CODE'!$1:$1</definedName>
    <definedName name="_xlnm.Print_Titles" localSheetId="6">'M2'!$1:$1</definedName>
    <definedName name="_xlnm.Print_Titles" localSheetId="4">'UV-CODE'!$1:$1</definedName>
    <definedName name="_xlnm.Print_Titles" localSheetId="5">V!$1:$1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9" i="2" l="1"/>
  <c r="H380" i="2"/>
  <c r="H381" i="2"/>
  <c r="H382" i="2"/>
  <c r="H383" i="2"/>
  <c r="H384" i="2"/>
  <c r="H385" i="2"/>
  <c r="H386" i="2"/>
  <c r="H387" i="2"/>
  <c r="H378" i="2"/>
  <c r="F382" i="2"/>
  <c r="F383" i="2"/>
  <c r="F384" i="2"/>
  <c r="F385" i="2"/>
  <c r="F386" i="2"/>
  <c r="F387" i="2"/>
  <c r="F381" i="2"/>
  <c r="E381" i="2"/>
  <c r="E382" i="2"/>
  <c r="E383" i="2"/>
  <c r="E384" i="2"/>
  <c r="E385" i="2"/>
  <c r="E386" i="2"/>
  <c r="E387" i="2"/>
  <c r="E379" i="2"/>
  <c r="F379" i="2"/>
  <c r="E380" i="2"/>
  <c r="F380" i="2"/>
  <c r="F378" i="2"/>
  <c r="E378" i="2"/>
  <c r="D378" i="2"/>
  <c r="D379" i="2"/>
  <c r="D380" i="2"/>
  <c r="D381" i="2"/>
  <c r="D382" i="2"/>
  <c r="D383" i="2"/>
  <c r="D384" i="2"/>
  <c r="D385" i="2"/>
  <c r="D386" i="2"/>
  <c r="D387" i="2"/>
  <c r="K20" i="9"/>
  <c r="K21" i="9"/>
  <c r="K22" i="9"/>
  <c r="K23" i="9"/>
  <c r="K19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2" i="9"/>
  <c r="M15" i="9"/>
  <c r="L15" i="9"/>
  <c r="M10" i="9"/>
  <c r="L10" i="9"/>
  <c r="M115" i="4"/>
  <c r="B118" i="4"/>
  <c r="B117" i="4"/>
  <c r="B116" i="4"/>
  <c r="B115" i="4"/>
  <c r="B114" i="4"/>
  <c r="B113" i="4"/>
  <c r="N118" i="4"/>
  <c r="M118" i="4"/>
  <c r="L118" i="4"/>
  <c r="K118" i="4"/>
  <c r="J118" i="4"/>
  <c r="N117" i="4"/>
  <c r="M117" i="4"/>
  <c r="L117" i="4"/>
  <c r="K117" i="4"/>
  <c r="J117" i="4"/>
  <c r="N116" i="4"/>
  <c r="M116" i="4"/>
  <c r="L116" i="4"/>
  <c r="K116" i="4"/>
  <c r="J116" i="4"/>
  <c r="N115" i="4"/>
  <c r="L115" i="4"/>
  <c r="K115" i="4"/>
  <c r="J115" i="4"/>
  <c r="N114" i="4"/>
  <c r="M114" i="4"/>
  <c r="L114" i="4"/>
  <c r="K114" i="4"/>
  <c r="J114" i="4"/>
  <c r="N113" i="4"/>
  <c r="M113" i="4"/>
  <c r="L113" i="4"/>
  <c r="K113" i="4"/>
  <c r="J113" i="4"/>
  <c r="B111" i="4"/>
  <c r="B110" i="4"/>
  <c r="B109" i="4"/>
  <c r="B108" i="4"/>
  <c r="N111" i="4"/>
  <c r="M111" i="4"/>
  <c r="L111" i="4"/>
  <c r="K111" i="4"/>
  <c r="J111" i="4"/>
  <c r="N110" i="4"/>
  <c r="M110" i="4"/>
  <c r="L110" i="4"/>
  <c r="K110" i="4"/>
  <c r="J110" i="4"/>
  <c r="N109" i="4"/>
  <c r="M109" i="4"/>
  <c r="L109" i="4"/>
  <c r="K109" i="4"/>
  <c r="J109" i="4"/>
  <c r="N108" i="4"/>
  <c r="M108" i="4"/>
  <c r="L108" i="4"/>
  <c r="K108" i="4"/>
  <c r="J108" i="4"/>
  <c r="B106" i="4"/>
  <c r="N106" i="4"/>
  <c r="M106" i="4"/>
  <c r="L106" i="4"/>
  <c r="K106" i="4"/>
  <c r="J106" i="4"/>
  <c r="N104" i="4"/>
  <c r="M104" i="4"/>
  <c r="L104" i="4"/>
  <c r="K104" i="4"/>
  <c r="J104" i="4"/>
  <c r="N103" i="4"/>
  <c r="M103" i="4"/>
  <c r="L103" i="4"/>
  <c r="K103" i="4"/>
  <c r="J103" i="4"/>
  <c r="B104" i="4"/>
  <c r="B103" i="4"/>
  <c r="B101" i="4"/>
  <c r="B100" i="4"/>
  <c r="B99" i="4"/>
  <c r="B98" i="4"/>
  <c r="N101" i="4"/>
  <c r="M101" i="4"/>
  <c r="L101" i="4"/>
  <c r="K101" i="4"/>
  <c r="J101" i="4"/>
  <c r="N100" i="4"/>
  <c r="M100" i="4"/>
  <c r="L100" i="4"/>
  <c r="K100" i="4"/>
  <c r="J100" i="4"/>
  <c r="N99" i="4"/>
  <c r="M99" i="4"/>
  <c r="L99" i="4"/>
  <c r="K99" i="4"/>
  <c r="J99" i="4"/>
  <c r="N98" i="4"/>
  <c r="M98" i="4"/>
  <c r="L98" i="4"/>
  <c r="K98" i="4"/>
  <c r="J98" i="4"/>
  <c r="B96" i="4"/>
  <c r="B95" i="4"/>
  <c r="B94" i="4"/>
  <c r="B93" i="4"/>
  <c r="B92" i="4"/>
  <c r="B91" i="4"/>
  <c r="B90" i="4"/>
  <c r="N96" i="4"/>
  <c r="M96" i="4"/>
  <c r="L96" i="4"/>
  <c r="K96" i="4"/>
  <c r="J96" i="4"/>
  <c r="N95" i="4"/>
  <c r="M95" i="4"/>
  <c r="L95" i="4"/>
  <c r="K95" i="4"/>
  <c r="J95" i="4"/>
  <c r="N94" i="4"/>
  <c r="M94" i="4"/>
  <c r="L94" i="4"/>
  <c r="K94" i="4"/>
  <c r="J94" i="4"/>
  <c r="N93" i="4"/>
  <c r="M93" i="4"/>
  <c r="L93" i="4"/>
  <c r="K93" i="4"/>
  <c r="J93" i="4"/>
  <c r="N92" i="4"/>
  <c r="M92" i="4"/>
  <c r="L92" i="4"/>
  <c r="K92" i="4"/>
  <c r="J92" i="4"/>
  <c r="N91" i="4"/>
  <c r="M91" i="4"/>
  <c r="L91" i="4"/>
  <c r="K91" i="4"/>
  <c r="J91" i="4"/>
  <c r="N90" i="4"/>
  <c r="M90" i="4"/>
  <c r="L90" i="4"/>
  <c r="K90" i="4"/>
  <c r="J90" i="4"/>
  <c r="B88" i="4"/>
  <c r="B87" i="4"/>
  <c r="B86" i="4"/>
  <c r="B85" i="4"/>
  <c r="B84" i="4"/>
  <c r="B83" i="4"/>
  <c r="B82" i="4"/>
  <c r="B81" i="4"/>
  <c r="B80" i="4"/>
  <c r="N88" i="4"/>
  <c r="M88" i="4"/>
  <c r="L88" i="4"/>
  <c r="K88" i="4"/>
  <c r="J88" i="4"/>
  <c r="N87" i="4"/>
  <c r="M87" i="4"/>
  <c r="L87" i="4"/>
  <c r="K87" i="4"/>
  <c r="J87" i="4"/>
  <c r="N86" i="4"/>
  <c r="M86" i="4"/>
  <c r="L86" i="4"/>
  <c r="K86" i="4"/>
  <c r="J86" i="4"/>
  <c r="N85" i="4"/>
  <c r="M85" i="4"/>
  <c r="L85" i="4"/>
  <c r="K85" i="4"/>
  <c r="J85" i="4"/>
  <c r="N84" i="4"/>
  <c r="M84" i="4"/>
  <c r="L84" i="4"/>
  <c r="K84" i="4"/>
  <c r="J84" i="4"/>
  <c r="N83" i="4"/>
  <c r="M83" i="4"/>
  <c r="L83" i="4"/>
  <c r="K83" i="4"/>
  <c r="J83" i="4"/>
  <c r="N82" i="4"/>
  <c r="M82" i="4"/>
  <c r="L82" i="4"/>
  <c r="K82" i="4"/>
  <c r="J82" i="4"/>
  <c r="N81" i="4"/>
  <c r="M81" i="4"/>
  <c r="L81" i="4"/>
  <c r="K81" i="4"/>
  <c r="J81" i="4"/>
  <c r="N80" i="4"/>
  <c r="M80" i="4"/>
  <c r="L80" i="4"/>
  <c r="K80" i="4"/>
  <c r="J80" i="4"/>
  <c r="N78" i="4"/>
  <c r="M78" i="4"/>
  <c r="L78" i="4"/>
  <c r="K78" i="4"/>
  <c r="J78" i="4"/>
  <c r="B78" i="4"/>
  <c r="B76" i="4"/>
  <c r="N76" i="4"/>
  <c r="M76" i="4"/>
  <c r="L76" i="4"/>
  <c r="K76" i="4"/>
  <c r="J76" i="4"/>
  <c r="B75" i="4"/>
  <c r="B74" i="4"/>
  <c r="N73" i="4"/>
  <c r="M73" i="4"/>
  <c r="L73" i="4"/>
  <c r="K73" i="4"/>
  <c r="J73" i="4"/>
  <c r="B72" i="4"/>
  <c r="B71" i="4"/>
  <c r="B70" i="4"/>
  <c r="B69" i="4"/>
  <c r="B68" i="4"/>
  <c r="B67" i="4"/>
  <c r="B66" i="4"/>
  <c r="B65" i="4"/>
  <c r="B64" i="4"/>
  <c r="B63" i="4"/>
  <c r="J63" i="4"/>
  <c r="K63" i="4"/>
  <c r="L63" i="4"/>
  <c r="M63" i="4"/>
  <c r="N63" i="4"/>
  <c r="J64" i="4"/>
  <c r="K64" i="4"/>
  <c r="L64" i="4"/>
  <c r="M64" i="4"/>
  <c r="N64" i="4"/>
  <c r="J65" i="4"/>
  <c r="K65" i="4"/>
  <c r="L65" i="4"/>
  <c r="M65" i="4"/>
  <c r="N65" i="4"/>
  <c r="J66" i="4"/>
  <c r="K66" i="4"/>
  <c r="L66" i="4"/>
  <c r="M66" i="4"/>
  <c r="N66" i="4"/>
  <c r="J67" i="4"/>
  <c r="K67" i="4"/>
  <c r="L67" i="4"/>
  <c r="M67" i="4"/>
  <c r="N67" i="4"/>
  <c r="J68" i="4"/>
  <c r="K68" i="4"/>
  <c r="L68" i="4"/>
  <c r="M68" i="4"/>
  <c r="N68" i="4"/>
  <c r="J69" i="4"/>
  <c r="K69" i="4"/>
  <c r="L69" i="4"/>
  <c r="M69" i="4"/>
  <c r="N69" i="4"/>
  <c r="J70" i="4"/>
  <c r="K70" i="4"/>
  <c r="L70" i="4"/>
  <c r="M70" i="4"/>
  <c r="N70" i="4"/>
  <c r="J71" i="4"/>
  <c r="K71" i="4"/>
  <c r="L71" i="4"/>
  <c r="M71" i="4"/>
  <c r="N71" i="4"/>
  <c r="J72" i="4"/>
  <c r="K72" i="4"/>
  <c r="L72" i="4"/>
  <c r="M72" i="4"/>
  <c r="N72" i="4"/>
  <c r="B62" i="4"/>
  <c r="K61" i="4"/>
  <c r="J61" i="4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0" i="4"/>
  <c r="J50" i="4"/>
  <c r="K49" i="4"/>
  <c r="J49" i="4"/>
  <c r="K48" i="4"/>
  <c r="J48" i="4"/>
  <c r="K47" i="4"/>
  <c r="J47" i="4"/>
  <c r="K46" i="4"/>
  <c r="J46" i="4"/>
  <c r="K44" i="4"/>
  <c r="J44" i="4"/>
  <c r="K43" i="4"/>
  <c r="J43" i="4"/>
  <c r="K42" i="4"/>
  <c r="J42" i="4"/>
  <c r="K41" i="4"/>
  <c r="J41" i="4"/>
  <c r="K40" i="4"/>
  <c r="J40" i="4"/>
  <c r="K38" i="4"/>
  <c r="J38" i="4"/>
  <c r="K37" i="4"/>
  <c r="J37" i="4"/>
  <c r="K36" i="4"/>
  <c r="J36" i="4"/>
  <c r="K35" i="4"/>
  <c r="J35" i="4"/>
  <c r="K34" i="4"/>
  <c r="J34" i="4"/>
  <c r="K32" i="4"/>
  <c r="J32" i="4"/>
  <c r="K31" i="4"/>
  <c r="J31" i="4"/>
  <c r="K30" i="4"/>
  <c r="J30" i="4"/>
  <c r="K29" i="4"/>
  <c r="J29" i="4"/>
  <c r="K28" i="4"/>
  <c r="J28" i="4"/>
  <c r="K27" i="4"/>
  <c r="J27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9" i="4"/>
  <c r="J9" i="4"/>
  <c r="K8" i="4"/>
  <c r="J8" i="4"/>
  <c r="K7" i="4"/>
  <c r="J7" i="4"/>
  <c r="J4" i="4"/>
  <c r="K4" i="4"/>
  <c r="J5" i="4"/>
  <c r="K5" i="4"/>
  <c r="K3" i="4"/>
  <c r="J3" i="4"/>
  <c r="L3" i="4"/>
  <c r="K45" i="4"/>
  <c r="K39" i="4"/>
  <c r="K33" i="4"/>
  <c r="K26" i="4"/>
  <c r="K18" i="4"/>
  <c r="K10" i="4"/>
  <c r="K6" i="4"/>
  <c r="K2" i="4"/>
  <c r="J2" i="4"/>
  <c r="J45" i="4"/>
  <c r="J39" i="4"/>
  <c r="J33" i="4"/>
  <c r="J26" i="4"/>
  <c r="J18" i="4"/>
  <c r="J10" i="4"/>
  <c r="J6" i="4"/>
  <c r="L2" i="4"/>
  <c r="N45" i="4"/>
  <c r="M45" i="4"/>
  <c r="L45" i="4"/>
  <c r="N39" i="4"/>
  <c r="M39" i="4"/>
  <c r="L39" i="4"/>
  <c r="N33" i="4"/>
  <c r="M33" i="4"/>
  <c r="L33" i="4"/>
  <c r="N26" i="4"/>
  <c r="M26" i="4"/>
  <c r="L26" i="4"/>
  <c r="N18" i="4"/>
  <c r="M18" i="4"/>
  <c r="L18" i="4"/>
  <c r="N10" i="4"/>
  <c r="M10" i="4"/>
  <c r="L10" i="4"/>
  <c r="N6" i="4"/>
  <c r="M6" i="4"/>
  <c r="L6" i="4"/>
  <c r="N2" i="4"/>
  <c r="M2" i="4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4" i="4"/>
  <c r="M4" i="4"/>
  <c r="N4" i="4"/>
  <c r="L5" i="4"/>
  <c r="M5" i="4"/>
  <c r="N5" i="4"/>
  <c r="L7" i="4"/>
  <c r="M7" i="4"/>
  <c r="N7" i="4"/>
  <c r="L8" i="4"/>
  <c r="M8" i="4"/>
  <c r="N8" i="4"/>
  <c r="L9" i="4"/>
  <c r="M9" i="4"/>
  <c r="N9" i="4"/>
  <c r="L11" i="4"/>
  <c r="M11" i="4"/>
  <c r="N11" i="4"/>
  <c r="L12" i="4"/>
  <c r="M12" i="4"/>
  <c r="N12" i="4"/>
  <c r="L13" i="4"/>
  <c r="M13" i="4"/>
  <c r="N13" i="4"/>
  <c r="L14" i="4"/>
  <c r="M14" i="4"/>
  <c r="N14" i="4"/>
  <c r="L15" i="4"/>
  <c r="M15" i="4"/>
  <c r="N15" i="4"/>
  <c r="L16" i="4"/>
  <c r="M16" i="4"/>
  <c r="N16" i="4"/>
  <c r="L17" i="4"/>
  <c r="M17" i="4"/>
  <c r="N17" i="4"/>
  <c r="L19" i="4"/>
  <c r="M19" i="4"/>
  <c r="N19" i="4"/>
  <c r="L20" i="4"/>
  <c r="M20" i="4"/>
  <c r="N20" i="4"/>
  <c r="L21" i="4"/>
  <c r="M21" i="4"/>
  <c r="N21" i="4"/>
  <c r="L22" i="4"/>
  <c r="M22" i="4"/>
  <c r="N22" i="4"/>
  <c r="L23" i="4"/>
  <c r="M23" i="4"/>
  <c r="N23" i="4"/>
  <c r="L24" i="4"/>
  <c r="M24" i="4"/>
  <c r="N24" i="4"/>
  <c r="L25" i="4"/>
  <c r="M25" i="4"/>
  <c r="N25" i="4"/>
  <c r="L27" i="4"/>
  <c r="M27" i="4"/>
  <c r="N27" i="4"/>
  <c r="L28" i="4"/>
  <c r="M28" i="4"/>
  <c r="N28" i="4"/>
  <c r="L29" i="4"/>
  <c r="M29" i="4"/>
  <c r="N29" i="4"/>
  <c r="L30" i="4"/>
  <c r="M30" i="4"/>
  <c r="N30" i="4"/>
  <c r="L31" i="4"/>
  <c r="M31" i="4"/>
  <c r="N31" i="4"/>
  <c r="L32" i="4"/>
  <c r="M32" i="4"/>
  <c r="N32" i="4"/>
  <c r="L34" i="4"/>
  <c r="M34" i="4"/>
  <c r="N34" i="4"/>
  <c r="L35" i="4"/>
  <c r="M35" i="4"/>
  <c r="N35" i="4"/>
  <c r="L36" i="4"/>
  <c r="M36" i="4"/>
  <c r="N36" i="4"/>
  <c r="L37" i="4"/>
  <c r="M37" i="4"/>
  <c r="N37" i="4"/>
  <c r="L38" i="4"/>
  <c r="M38" i="4"/>
  <c r="N38" i="4"/>
  <c r="L40" i="4"/>
  <c r="M40" i="4"/>
  <c r="N40" i="4"/>
  <c r="L41" i="4"/>
  <c r="M41" i="4"/>
  <c r="N41" i="4"/>
  <c r="L42" i="4"/>
  <c r="M42" i="4"/>
  <c r="N42" i="4"/>
  <c r="L43" i="4"/>
  <c r="M43" i="4"/>
  <c r="N43" i="4"/>
  <c r="L44" i="4"/>
  <c r="M44" i="4"/>
  <c r="N44" i="4"/>
  <c r="L46" i="4"/>
  <c r="M46" i="4"/>
  <c r="N46" i="4"/>
  <c r="L47" i="4"/>
  <c r="M47" i="4"/>
  <c r="N47" i="4"/>
  <c r="L48" i="4"/>
  <c r="M48" i="4"/>
  <c r="N48" i="4"/>
  <c r="L49" i="4"/>
  <c r="M49" i="4"/>
  <c r="N49" i="4"/>
  <c r="L50" i="4"/>
  <c r="M50" i="4"/>
  <c r="N50" i="4"/>
  <c r="L52" i="4"/>
  <c r="M52" i="4"/>
  <c r="N52" i="4"/>
  <c r="L53" i="4"/>
  <c r="M53" i="4"/>
  <c r="N53" i="4"/>
  <c r="L54" i="4"/>
  <c r="M54" i="4"/>
  <c r="N54" i="4"/>
  <c r="L55" i="4"/>
  <c r="M55" i="4"/>
  <c r="N55" i="4"/>
  <c r="L56" i="4"/>
  <c r="M56" i="4"/>
  <c r="N56" i="4"/>
  <c r="L57" i="4"/>
  <c r="M57" i="4"/>
  <c r="N57" i="4"/>
  <c r="L58" i="4"/>
  <c r="M58" i="4"/>
  <c r="N58" i="4"/>
  <c r="L59" i="4"/>
  <c r="M59" i="4"/>
  <c r="N59" i="4"/>
  <c r="L60" i="4"/>
  <c r="M60" i="4"/>
  <c r="N60" i="4"/>
  <c r="L61" i="4"/>
  <c r="M61" i="4"/>
  <c r="N61" i="4"/>
  <c r="N3" i="4"/>
  <c r="M3" i="4"/>
  <c r="I53" i="4"/>
  <c r="I54" i="4"/>
  <c r="I55" i="4"/>
  <c r="I56" i="4"/>
  <c r="I57" i="4"/>
  <c r="I58" i="4"/>
  <c r="I59" i="4"/>
  <c r="I60" i="4"/>
  <c r="I61" i="4"/>
  <c r="I52" i="4"/>
  <c r="M1310" i="7"/>
  <c r="M1309" i="7"/>
  <c r="M1308" i="7"/>
  <c r="M1307" i="7"/>
  <c r="M1306" i="7"/>
  <c r="M1305" i="7"/>
  <c r="M1304" i="7"/>
  <c r="M1303" i="7"/>
  <c r="M1302" i="7"/>
  <c r="M1301" i="7"/>
  <c r="M1300" i="7"/>
  <c r="M1299" i="7"/>
  <c r="M1298" i="7"/>
  <c r="M1297" i="7"/>
  <c r="M1296" i="7"/>
  <c r="M1295" i="7"/>
  <c r="M1294" i="7"/>
  <c r="M1293" i="7"/>
  <c r="M1292" i="7"/>
  <c r="M1291" i="7"/>
  <c r="M1290" i="7"/>
  <c r="M1289" i="7"/>
  <c r="M1288" i="7"/>
  <c r="M1287" i="7"/>
  <c r="M1286" i="7"/>
  <c r="M1285" i="7"/>
  <c r="M1284" i="7"/>
  <c r="M1283" i="7"/>
  <c r="M1282" i="7"/>
  <c r="M1281" i="7"/>
  <c r="M1280" i="7"/>
  <c r="M1279" i="7"/>
  <c r="M1278" i="7"/>
  <c r="M1277" i="7"/>
  <c r="M1276" i="7"/>
  <c r="M1275" i="7"/>
  <c r="M1274" i="7"/>
  <c r="M1273" i="7"/>
  <c r="M1272" i="7"/>
  <c r="M1271" i="7"/>
  <c r="M1270" i="7"/>
  <c r="M1269" i="7"/>
  <c r="M1268" i="7"/>
  <c r="M1267" i="7"/>
  <c r="M1266" i="7"/>
  <c r="M1265" i="7"/>
  <c r="M1264" i="7"/>
  <c r="M1263" i="7"/>
  <c r="M1262" i="7"/>
  <c r="M1261" i="7"/>
  <c r="M1260" i="7"/>
  <c r="M1259" i="7"/>
  <c r="M1258" i="7"/>
  <c r="M1257" i="7"/>
  <c r="M1256" i="7"/>
  <c r="M1255" i="7"/>
  <c r="M1254" i="7"/>
  <c r="M1253" i="7"/>
  <c r="M1252" i="7"/>
  <c r="M1251" i="7"/>
  <c r="M1250" i="7"/>
  <c r="M1249" i="7"/>
  <c r="M1248" i="7"/>
  <c r="M1247" i="7"/>
  <c r="M1246" i="7"/>
  <c r="M1245" i="7"/>
  <c r="M1244" i="7"/>
  <c r="M1243" i="7"/>
  <c r="M1242" i="7"/>
  <c r="M1241" i="7"/>
  <c r="M1240" i="7"/>
  <c r="M1239" i="7"/>
  <c r="M1238" i="7"/>
  <c r="M1237" i="7"/>
  <c r="M1236" i="7"/>
  <c r="M1235" i="7"/>
  <c r="M1234" i="7"/>
  <c r="M1233" i="7"/>
  <c r="M1232" i="7"/>
  <c r="M1231" i="7"/>
  <c r="M1230" i="7"/>
  <c r="M1229" i="7"/>
  <c r="M1228" i="7"/>
  <c r="M1227" i="7"/>
  <c r="M1226" i="7"/>
  <c r="M1225" i="7"/>
  <c r="M1224" i="7"/>
  <c r="M1223" i="7"/>
  <c r="M1222" i="7"/>
  <c r="M1221" i="7"/>
  <c r="M1220" i="7"/>
  <c r="M1219" i="7"/>
  <c r="M1218" i="7"/>
  <c r="M1217" i="7"/>
  <c r="M1216" i="7"/>
  <c r="M1215" i="7"/>
  <c r="M1214" i="7"/>
  <c r="M1213" i="7"/>
  <c r="M1212" i="7"/>
  <c r="M1211" i="7"/>
  <c r="M1210" i="7"/>
  <c r="M1209" i="7"/>
  <c r="M1208" i="7"/>
  <c r="M1207" i="7"/>
  <c r="M1206" i="7"/>
  <c r="M1205" i="7"/>
  <c r="M1204" i="7"/>
  <c r="M1203" i="7"/>
  <c r="M1202" i="7"/>
  <c r="M1201" i="7"/>
  <c r="M1200" i="7"/>
  <c r="M1199" i="7"/>
  <c r="M1198" i="7"/>
  <c r="M1197" i="7"/>
  <c r="M1196" i="7"/>
  <c r="M1195" i="7"/>
  <c r="M1194" i="7"/>
  <c r="M1193" i="7"/>
  <c r="M1192" i="7"/>
  <c r="M1191" i="7"/>
  <c r="M1190" i="7"/>
  <c r="M1189" i="7"/>
  <c r="M1188" i="7"/>
  <c r="M1187" i="7"/>
  <c r="M1186" i="7"/>
  <c r="M1185" i="7"/>
  <c r="M1184" i="7"/>
  <c r="M1183" i="7"/>
  <c r="M1182" i="7"/>
  <c r="M1181" i="7"/>
  <c r="M1180" i="7"/>
  <c r="M1179" i="7"/>
  <c r="M1178" i="7"/>
  <c r="M1177" i="7"/>
  <c r="M1176" i="7"/>
  <c r="M1175" i="7"/>
  <c r="M1174" i="7"/>
  <c r="M1173" i="7"/>
  <c r="M1172" i="7"/>
  <c r="M1171" i="7"/>
  <c r="M1170" i="7"/>
  <c r="M1169" i="7"/>
  <c r="M1168" i="7"/>
  <c r="M1167" i="7"/>
  <c r="M1166" i="7"/>
  <c r="M1165" i="7"/>
  <c r="M1164" i="7"/>
  <c r="M1163" i="7"/>
  <c r="M1162" i="7"/>
  <c r="M1161" i="7"/>
  <c r="M1160" i="7"/>
  <c r="M1159" i="7"/>
  <c r="M1158" i="7"/>
  <c r="M1157" i="7"/>
  <c r="M1156" i="7"/>
  <c r="M1155" i="7"/>
  <c r="M1154" i="7"/>
  <c r="M1153" i="7"/>
  <c r="M1152" i="7"/>
  <c r="M1151" i="7"/>
  <c r="M1150" i="7"/>
  <c r="M1149" i="7"/>
  <c r="M1148" i="7"/>
  <c r="M1147" i="7"/>
  <c r="M1146" i="7"/>
  <c r="M1145" i="7"/>
  <c r="M1144" i="7"/>
  <c r="M1143" i="7"/>
  <c r="M1142" i="7"/>
  <c r="M1141" i="7"/>
  <c r="M1140" i="7"/>
  <c r="M1139" i="7"/>
  <c r="M1138" i="7"/>
  <c r="M1137" i="7"/>
  <c r="M1136" i="7"/>
  <c r="M1135" i="7"/>
  <c r="M1134" i="7"/>
  <c r="M1133" i="7"/>
  <c r="M1132" i="7"/>
  <c r="M1131" i="7"/>
  <c r="M1130" i="7"/>
  <c r="M1129" i="7"/>
  <c r="M1128" i="7"/>
  <c r="M1127" i="7"/>
  <c r="M1126" i="7"/>
  <c r="M1125" i="7"/>
  <c r="M1124" i="7"/>
  <c r="M1123" i="7"/>
  <c r="M1122" i="7"/>
  <c r="M1121" i="7"/>
  <c r="M1120" i="7"/>
  <c r="M1119" i="7"/>
  <c r="M1118" i="7"/>
  <c r="M1117" i="7"/>
  <c r="M1116" i="7"/>
  <c r="M1115" i="7"/>
  <c r="M1114" i="7"/>
  <c r="M1113" i="7"/>
  <c r="M1112" i="7"/>
  <c r="M1111" i="7"/>
  <c r="M1110" i="7"/>
  <c r="M1109" i="7"/>
  <c r="M1108" i="7"/>
  <c r="M1107" i="7"/>
  <c r="M1106" i="7"/>
  <c r="M1105" i="7"/>
  <c r="M1104" i="7"/>
  <c r="M1103" i="7"/>
  <c r="M1102" i="7"/>
  <c r="M1101" i="7"/>
  <c r="M1100" i="7"/>
  <c r="M1099" i="7"/>
  <c r="M1098" i="7"/>
  <c r="M1097" i="7"/>
  <c r="M1096" i="7"/>
  <c r="M1095" i="7"/>
  <c r="M1094" i="7"/>
  <c r="M1093" i="7"/>
  <c r="M1092" i="7"/>
  <c r="M1091" i="7"/>
  <c r="M1090" i="7"/>
  <c r="M1089" i="7"/>
  <c r="M1088" i="7"/>
  <c r="M1087" i="7"/>
  <c r="M1086" i="7"/>
  <c r="M1085" i="7"/>
  <c r="M1084" i="7"/>
  <c r="M1083" i="7"/>
  <c r="M1082" i="7"/>
  <c r="M1081" i="7"/>
  <c r="M1080" i="7"/>
  <c r="M1079" i="7"/>
  <c r="M1078" i="7"/>
  <c r="M1077" i="7"/>
  <c r="M1076" i="7"/>
  <c r="M1075" i="7"/>
  <c r="M1074" i="7"/>
  <c r="M1073" i="7"/>
  <c r="M1072" i="7"/>
  <c r="M1071" i="7"/>
  <c r="M1070" i="7"/>
  <c r="M1069" i="7"/>
  <c r="M1068" i="7"/>
  <c r="M1067" i="7"/>
  <c r="M1066" i="7"/>
  <c r="M1065" i="7"/>
  <c r="M1064" i="7"/>
  <c r="M1063" i="7"/>
  <c r="M1062" i="7"/>
  <c r="M1061" i="7"/>
  <c r="M1060" i="7"/>
  <c r="M1059" i="7"/>
  <c r="M1058" i="7"/>
  <c r="M1057" i="7"/>
  <c r="M1056" i="7"/>
  <c r="M1055" i="7"/>
  <c r="M1054" i="7"/>
  <c r="M1053" i="7"/>
  <c r="M1052" i="7"/>
  <c r="M1051" i="7"/>
  <c r="M1050" i="7"/>
  <c r="M1049" i="7"/>
  <c r="M1048" i="7"/>
  <c r="M1047" i="7"/>
  <c r="M1046" i="7"/>
  <c r="M1045" i="7"/>
  <c r="M1044" i="7"/>
  <c r="M1043" i="7"/>
  <c r="M1042" i="7"/>
  <c r="M1041" i="7"/>
  <c r="M1040" i="7"/>
  <c r="M1039" i="7"/>
  <c r="M1038" i="7"/>
  <c r="M1037" i="7"/>
  <c r="M1036" i="7"/>
  <c r="M1035" i="7"/>
  <c r="M1034" i="7"/>
  <c r="M1033" i="7"/>
  <c r="M1032" i="7"/>
  <c r="M1031" i="7"/>
  <c r="M1030" i="7"/>
  <c r="M1029" i="7"/>
  <c r="M1028" i="7"/>
  <c r="M1027" i="7"/>
  <c r="M1026" i="7"/>
  <c r="M1025" i="7"/>
  <c r="M1024" i="7"/>
  <c r="M1023" i="7"/>
  <c r="M1022" i="7"/>
  <c r="M1021" i="7"/>
  <c r="M1020" i="7"/>
  <c r="M1019" i="7"/>
  <c r="M1018" i="7"/>
  <c r="M1017" i="7"/>
  <c r="M1016" i="7"/>
  <c r="M1015" i="7"/>
  <c r="M1014" i="7"/>
  <c r="M1013" i="7"/>
  <c r="M1012" i="7"/>
  <c r="M1011" i="7"/>
  <c r="M1010" i="7"/>
  <c r="M1009" i="7"/>
  <c r="M1008" i="7"/>
  <c r="M1007" i="7"/>
  <c r="M1006" i="7"/>
  <c r="M1005" i="7"/>
  <c r="M1004" i="7"/>
  <c r="M1003" i="7"/>
  <c r="M1002" i="7"/>
  <c r="M1001" i="7"/>
  <c r="M1000" i="7"/>
  <c r="M999" i="7"/>
  <c r="M998" i="7"/>
  <c r="M997" i="7"/>
  <c r="M996" i="7"/>
  <c r="M995" i="7"/>
  <c r="M994" i="7"/>
  <c r="M993" i="7"/>
  <c r="M992" i="7"/>
  <c r="M991" i="7"/>
  <c r="M990" i="7"/>
  <c r="M989" i="7"/>
  <c r="M988" i="7"/>
  <c r="M987" i="7"/>
  <c r="M986" i="7"/>
  <c r="M985" i="7"/>
  <c r="M984" i="7"/>
  <c r="M983" i="7"/>
  <c r="M982" i="7"/>
  <c r="M981" i="7"/>
  <c r="M980" i="7"/>
  <c r="M979" i="7"/>
  <c r="M978" i="7"/>
  <c r="M977" i="7"/>
  <c r="M976" i="7"/>
  <c r="M975" i="7"/>
  <c r="M974" i="7"/>
  <c r="M973" i="7"/>
  <c r="M972" i="7"/>
  <c r="M971" i="7"/>
  <c r="M970" i="7"/>
  <c r="M969" i="7"/>
  <c r="M968" i="7"/>
  <c r="M967" i="7"/>
  <c r="M966" i="7"/>
  <c r="M965" i="7"/>
  <c r="M964" i="7"/>
  <c r="M963" i="7"/>
  <c r="M962" i="7"/>
  <c r="M961" i="7"/>
  <c r="M960" i="7"/>
  <c r="M959" i="7"/>
  <c r="M958" i="7"/>
  <c r="M957" i="7"/>
  <c r="M956" i="7"/>
  <c r="M955" i="7"/>
  <c r="M954" i="7"/>
  <c r="M953" i="7"/>
  <c r="M952" i="7"/>
  <c r="M951" i="7"/>
  <c r="M950" i="7"/>
  <c r="M949" i="7"/>
  <c r="M948" i="7"/>
  <c r="M947" i="7"/>
  <c r="M946" i="7"/>
  <c r="M945" i="7"/>
  <c r="M944" i="7"/>
  <c r="M943" i="7"/>
  <c r="M942" i="7"/>
  <c r="M941" i="7"/>
  <c r="M940" i="7"/>
  <c r="M939" i="7"/>
  <c r="M938" i="7"/>
  <c r="M937" i="7"/>
  <c r="M936" i="7"/>
  <c r="M935" i="7"/>
  <c r="M934" i="7"/>
  <c r="M933" i="7"/>
  <c r="M932" i="7"/>
  <c r="M931" i="7"/>
  <c r="M930" i="7"/>
  <c r="M929" i="7"/>
  <c r="M928" i="7"/>
  <c r="M927" i="7"/>
  <c r="M926" i="7"/>
  <c r="M925" i="7"/>
  <c r="M924" i="7"/>
  <c r="M923" i="7"/>
  <c r="M922" i="7"/>
  <c r="M921" i="7"/>
  <c r="M920" i="7"/>
  <c r="M919" i="7"/>
  <c r="M918" i="7"/>
  <c r="M917" i="7"/>
  <c r="M916" i="7"/>
  <c r="M915" i="7"/>
  <c r="M914" i="7"/>
  <c r="M913" i="7"/>
  <c r="M912" i="7"/>
  <c r="M911" i="7"/>
  <c r="M910" i="7"/>
  <c r="M909" i="7"/>
  <c r="M908" i="7"/>
  <c r="M907" i="7"/>
  <c r="M906" i="7"/>
  <c r="M905" i="7"/>
  <c r="M904" i="7"/>
  <c r="M903" i="7"/>
  <c r="M902" i="7"/>
  <c r="M901" i="7"/>
  <c r="M900" i="7"/>
  <c r="M899" i="7"/>
  <c r="M898" i="7"/>
  <c r="M897" i="7"/>
  <c r="M896" i="7"/>
  <c r="M895" i="7"/>
  <c r="M894" i="7"/>
  <c r="M893" i="7"/>
  <c r="M892" i="7"/>
  <c r="M891" i="7"/>
  <c r="M890" i="7"/>
  <c r="M889" i="7"/>
  <c r="M888" i="7"/>
  <c r="M887" i="7"/>
  <c r="M886" i="7"/>
  <c r="M885" i="7"/>
  <c r="M884" i="7"/>
  <c r="M883" i="7"/>
  <c r="M882" i="7"/>
  <c r="M881" i="7"/>
  <c r="M880" i="7"/>
  <c r="M879" i="7"/>
  <c r="M878" i="7"/>
  <c r="M877" i="7"/>
  <c r="M876" i="7"/>
  <c r="M875" i="7"/>
  <c r="M874" i="7"/>
  <c r="M873" i="7"/>
  <c r="M872" i="7"/>
  <c r="M871" i="7"/>
  <c r="M870" i="7"/>
  <c r="M869" i="7"/>
  <c r="M868" i="7"/>
  <c r="M867" i="7"/>
  <c r="M866" i="7"/>
  <c r="M865" i="7"/>
  <c r="M864" i="7"/>
  <c r="M863" i="7"/>
  <c r="M862" i="7"/>
  <c r="M861" i="7"/>
  <c r="M860" i="7"/>
  <c r="M859" i="7"/>
  <c r="M858" i="7"/>
  <c r="M857" i="7"/>
  <c r="M856" i="7"/>
  <c r="M855" i="7"/>
  <c r="M854" i="7"/>
  <c r="M853" i="7"/>
  <c r="M852" i="7"/>
  <c r="M851" i="7"/>
  <c r="M850" i="7"/>
  <c r="M849" i="7"/>
  <c r="M848" i="7"/>
  <c r="M847" i="7"/>
  <c r="M846" i="7"/>
  <c r="M845" i="7"/>
  <c r="M844" i="7"/>
  <c r="M843" i="7"/>
  <c r="M842" i="7"/>
  <c r="M841" i="7"/>
  <c r="M840" i="7"/>
  <c r="M839" i="7"/>
  <c r="M838" i="7"/>
  <c r="M837" i="7"/>
  <c r="M836" i="7"/>
  <c r="M835" i="7"/>
  <c r="M834" i="7"/>
  <c r="M833" i="7"/>
  <c r="M832" i="7"/>
  <c r="M831" i="7"/>
  <c r="M830" i="7"/>
  <c r="M829" i="7"/>
  <c r="M828" i="7"/>
  <c r="M827" i="7"/>
  <c r="M826" i="7"/>
  <c r="M825" i="7"/>
  <c r="M824" i="7"/>
  <c r="M823" i="7"/>
  <c r="M822" i="7"/>
  <c r="M821" i="7"/>
  <c r="M820" i="7"/>
  <c r="M819" i="7"/>
  <c r="M818" i="7"/>
  <c r="M817" i="7"/>
  <c r="M816" i="7"/>
  <c r="M815" i="7"/>
  <c r="M814" i="7"/>
  <c r="M813" i="7"/>
  <c r="M812" i="7"/>
  <c r="M811" i="7"/>
  <c r="M810" i="7"/>
  <c r="M809" i="7"/>
  <c r="M808" i="7"/>
  <c r="M807" i="7"/>
  <c r="M806" i="7"/>
  <c r="M805" i="7"/>
  <c r="M804" i="7"/>
  <c r="M803" i="7"/>
  <c r="M802" i="7"/>
  <c r="M801" i="7"/>
  <c r="M800" i="7"/>
  <c r="M799" i="7"/>
  <c r="M798" i="7"/>
  <c r="M797" i="7"/>
  <c r="M796" i="7"/>
  <c r="M795" i="7"/>
  <c r="M794" i="7"/>
  <c r="M793" i="7"/>
  <c r="M792" i="7"/>
  <c r="M791" i="7"/>
  <c r="M790" i="7"/>
  <c r="M789" i="7"/>
  <c r="M788" i="7"/>
  <c r="M787" i="7"/>
  <c r="M786" i="7"/>
  <c r="M785" i="7"/>
  <c r="M784" i="7"/>
  <c r="M783" i="7"/>
  <c r="M782" i="7"/>
  <c r="M781" i="7"/>
  <c r="M780" i="7"/>
  <c r="M779" i="7"/>
  <c r="M778" i="7"/>
  <c r="M777" i="7"/>
  <c r="M776" i="7"/>
  <c r="M775" i="7"/>
  <c r="M774" i="7"/>
  <c r="M773" i="7"/>
  <c r="M772" i="7"/>
  <c r="M771" i="7"/>
  <c r="M770" i="7"/>
  <c r="M769" i="7"/>
  <c r="M768" i="7"/>
  <c r="M767" i="7"/>
  <c r="M766" i="7"/>
  <c r="M765" i="7"/>
  <c r="M764" i="7"/>
  <c r="M763" i="7"/>
  <c r="M762" i="7"/>
  <c r="M761" i="7"/>
  <c r="M760" i="7"/>
  <c r="M759" i="7"/>
  <c r="M758" i="7"/>
  <c r="M757" i="7"/>
  <c r="M756" i="7"/>
  <c r="M755" i="7"/>
  <c r="M754" i="7"/>
  <c r="M753" i="7"/>
  <c r="M752" i="7"/>
  <c r="M751" i="7"/>
  <c r="M750" i="7"/>
  <c r="M749" i="7"/>
  <c r="M748" i="7"/>
  <c r="M747" i="7"/>
  <c r="M746" i="7"/>
  <c r="M745" i="7"/>
  <c r="M744" i="7"/>
  <c r="M743" i="7"/>
  <c r="M742" i="7"/>
  <c r="M741" i="7"/>
  <c r="M740" i="7"/>
  <c r="M739" i="7"/>
  <c r="M738" i="7"/>
  <c r="M737" i="7"/>
  <c r="M736" i="7"/>
  <c r="M735" i="7"/>
  <c r="M734" i="7"/>
  <c r="M733" i="7"/>
  <c r="M732" i="7"/>
  <c r="M731" i="7"/>
  <c r="M730" i="7"/>
  <c r="M729" i="7"/>
  <c r="M728" i="7"/>
  <c r="M727" i="7"/>
  <c r="M726" i="7"/>
  <c r="M725" i="7"/>
  <c r="M724" i="7"/>
  <c r="M723" i="7"/>
  <c r="M722" i="7"/>
  <c r="M721" i="7"/>
  <c r="M720" i="7"/>
  <c r="M719" i="7"/>
  <c r="M718" i="7"/>
  <c r="M717" i="7"/>
  <c r="M716" i="7"/>
  <c r="M715" i="7"/>
  <c r="M714" i="7"/>
  <c r="M713" i="7"/>
  <c r="M712" i="7"/>
  <c r="M711" i="7"/>
  <c r="M710" i="7"/>
  <c r="M709" i="7"/>
  <c r="M708" i="7"/>
  <c r="M707" i="7"/>
  <c r="M706" i="7"/>
  <c r="M705" i="7"/>
  <c r="M704" i="7"/>
  <c r="M703" i="7"/>
  <c r="M702" i="7"/>
  <c r="M701" i="7"/>
  <c r="M700" i="7"/>
  <c r="M699" i="7"/>
  <c r="M698" i="7"/>
  <c r="M697" i="7"/>
  <c r="M696" i="7"/>
  <c r="M695" i="7"/>
  <c r="M694" i="7"/>
  <c r="M693" i="7"/>
  <c r="M692" i="7"/>
  <c r="M691" i="7"/>
  <c r="M690" i="7"/>
  <c r="M689" i="7"/>
  <c r="M688" i="7"/>
  <c r="M687" i="7"/>
  <c r="M686" i="7"/>
  <c r="M685" i="7"/>
  <c r="M684" i="7"/>
  <c r="M683" i="7"/>
  <c r="M682" i="7"/>
  <c r="M681" i="7"/>
  <c r="M680" i="7"/>
  <c r="M679" i="7"/>
  <c r="M678" i="7"/>
  <c r="M677" i="7"/>
  <c r="M676" i="7"/>
  <c r="M675" i="7"/>
  <c r="M674" i="7"/>
  <c r="M673" i="7"/>
  <c r="M672" i="7"/>
  <c r="M671" i="7"/>
  <c r="M670" i="7"/>
  <c r="M669" i="7"/>
  <c r="M668" i="7"/>
  <c r="M667" i="7"/>
  <c r="M666" i="7"/>
  <c r="M665" i="7"/>
  <c r="M664" i="7"/>
  <c r="M663" i="7"/>
  <c r="M662" i="7"/>
  <c r="M661" i="7"/>
  <c r="M660" i="7"/>
  <c r="M659" i="7"/>
  <c r="M658" i="7"/>
  <c r="M657" i="7"/>
  <c r="M656" i="7"/>
  <c r="M655" i="7"/>
  <c r="M654" i="7"/>
  <c r="M653" i="7"/>
  <c r="M652" i="7"/>
  <c r="M651" i="7"/>
  <c r="M650" i="7"/>
  <c r="M649" i="7"/>
  <c r="M648" i="7"/>
  <c r="M647" i="7"/>
  <c r="M646" i="7"/>
  <c r="M645" i="7"/>
  <c r="M644" i="7"/>
  <c r="M643" i="7"/>
  <c r="M642" i="7"/>
  <c r="M641" i="7"/>
  <c r="M640" i="7"/>
  <c r="M639" i="7"/>
  <c r="M638" i="7"/>
  <c r="M637" i="7"/>
  <c r="M636" i="7"/>
  <c r="M635" i="7"/>
  <c r="M634" i="7"/>
  <c r="M633" i="7"/>
  <c r="M632" i="7"/>
  <c r="M631" i="7"/>
  <c r="M630" i="7"/>
  <c r="M629" i="7"/>
  <c r="M628" i="7"/>
  <c r="M627" i="7"/>
  <c r="M626" i="7"/>
  <c r="M625" i="7"/>
  <c r="M624" i="7"/>
  <c r="M623" i="7"/>
  <c r="M622" i="7"/>
  <c r="M621" i="7"/>
  <c r="M620" i="7"/>
  <c r="M619" i="7"/>
  <c r="M618" i="7"/>
  <c r="M617" i="7"/>
  <c r="M616" i="7"/>
  <c r="M615" i="7"/>
  <c r="M614" i="7"/>
  <c r="M613" i="7"/>
  <c r="M612" i="7"/>
  <c r="M611" i="7"/>
  <c r="M610" i="7"/>
  <c r="M609" i="7"/>
  <c r="M608" i="7"/>
  <c r="M607" i="7"/>
  <c r="M606" i="7"/>
  <c r="M605" i="7"/>
  <c r="M604" i="7"/>
  <c r="M603" i="7"/>
  <c r="M602" i="7"/>
  <c r="M601" i="7"/>
  <c r="M600" i="7"/>
  <c r="M599" i="7"/>
  <c r="M598" i="7"/>
  <c r="M597" i="7"/>
  <c r="M596" i="7"/>
  <c r="M595" i="7"/>
  <c r="M594" i="7"/>
  <c r="M593" i="7"/>
  <c r="M592" i="7"/>
  <c r="M591" i="7"/>
  <c r="M590" i="7"/>
  <c r="M589" i="7"/>
  <c r="M588" i="7"/>
  <c r="M587" i="7"/>
  <c r="M586" i="7"/>
  <c r="M585" i="7"/>
  <c r="M584" i="7"/>
  <c r="M583" i="7"/>
  <c r="M582" i="7"/>
  <c r="M581" i="7"/>
  <c r="M580" i="7"/>
  <c r="M579" i="7"/>
  <c r="M578" i="7"/>
  <c r="M577" i="7"/>
  <c r="M576" i="7"/>
  <c r="M575" i="7"/>
  <c r="M574" i="7"/>
  <c r="M573" i="7"/>
  <c r="M572" i="7"/>
  <c r="M571" i="7"/>
  <c r="M570" i="7"/>
  <c r="M569" i="7"/>
  <c r="M568" i="7"/>
  <c r="M567" i="7"/>
  <c r="M566" i="7"/>
  <c r="M565" i="7"/>
  <c r="M564" i="7"/>
  <c r="M563" i="7"/>
  <c r="M562" i="7"/>
  <c r="M561" i="7"/>
  <c r="M560" i="7"/>
  <c r="M559" i="7"/>
  <c r="M558" i="7"/>
  <c r="M557" i="7"/>
  <c r="M556" i="7"/>
  <c r="M555" i="7"/>
  <c r="M554" i="7"/>
  <c r="M553" i="7"/>
  <c r="M552" i="7"/>
  <c r="M551" i="7"/>
  <c r="M550" i="7"/>
  <c r="M549" i="7"/>
  <c r="M548" i="7"/>
  <c r="M547" i="7"/>
  <c r="M546" i="7"/>
  <c r="M545" i="7"/>
  <c r="M544" i="7"/>
  <c r="M543" i="7"/>
  <c r="M542" i="7"/>
  <c r="M541" i="7"/>
  <c r="M540" i="7"/>
  <c r="M539" i="7"/>
  <c r="M538" i="7"/>
  <c r="M537" i="7"/>
  <c r="M536" i="7"/>
  <c r="M535" i="7"/>
  <c r="M534" i="7"/>
  <c r="M533" i="7"/>
  <c r="M532" i="7"/>
  <c r="M531" i="7"/>
  <c r="M530" i="7"/>
  <c r="M529" i="7"/>
  <c r="M528" i="7"/>
  <c r="M527" i="7"/>
  <c r="M526" i="7"/>
  <c r="M525" i="7"/>
  <c r="M524" i="7"/>
  <c r="M523" i="7"/>
  <c r="M522" i="7"/>
  <c r="M521" i="7"/>
  <c r="M520" i="7"/>
  <c r="M519" i="7"/>
  <c r="M518" i="7"/>
  <c r="M517" i="7"/>
  <c r="M516" i="7"/>
  <c r="M515" i="7"/>
  <c r="M514" i="7"/>
  <c r="M513" i="7"/>
  <c r="M512" i="7"/>
  <c r="M511" i="7"/>
  <c r="M510" i="7"/>
  <c r="M509" i="7"/>
  <c r="M508" i="7"/>
  <c r="M507" i="7"/>
  <c r="M506" i="7"/>
  <c r="M505" i="7"/>
  <c r="M504" i="7"/>
  <c r="M503" i="7"/>
  <c r="M502" i="7"/>
  <c r="M501" i="7"/>
  <c r="M500" i="7"/>
  <c r="M499" i="7"/>
  <c r="M498" i="7"/>
  <c r="M497" i="7"/>
  <c r="M496" i="7"/>
  <c r="M495" i="7"/>
  <c r="M494" i="7"/>
  <c r="M493" i="7"/>
  <c r="M492" i="7"/>
  <c r="M491" i="7"/>
  <c r="M490" i="7"/>
  <c r="M489" i="7"/>
  <c r="M488" i="7"/>
  <c r="M487" i="7"/>
  <c r="M486" i="7"/>
  <c r="M485" i="7"/>
  <c r="M484" i="7"/>
  <c r="M483" i="7"/>
  <c r="M482" i="7"/>
  <c r="M481" i="7"/>
  <c r="M480" i="7"/>
  <c r="M479" i="7"/>
  <c r="M478" i="7"/>
  <c r="M477" i="7"/>
  <c r="M476" i="7"/>
  <c r="M475" i="7"/>
  <c r="M474" i="7"/>
  <c r="M473" i="7"/>
  <c r="M472" i="7"/>
  <c r="M471" i="7"/>
  <c r="M470" i="7"/>
  <c r="M469" i="7"/>
  <c r="M468" i="7"/>
  <c r="M467" i="7"/>
  <c r="M466" i="7"/>
  <c r="M465" i="7"/>
  <c r="M464" i="7"/>
  <c r="M463" i="7"/>
  <c r="M462" i="7"/>
  <c r="M461" i="7"/>
  <c r="M460" i="7"/>
  <c r="M459" i="7"/>
  <c r="M458" i="7"/>
  <c r="M457" i="7"/>
  <c r="M456" i="7"/>
  <c r="M455" i="7"/>
  <c r="M454" i="7"/>
  <c r="M453" i="7"/>
  <c r="M452" i="7"/>
  <c r="M451" i="7"/>
  <c r="M450" i="7"/>
  <c r="M449" i="7"/>
  <c r="M448" i="7"/>
  <c r="M447" i="7"/>
  <c r="M446" i="7"/>
  <c r="M445" i="7"/>
  <c r="M444" i="7"/>
  <c r="M443" i="7"/>
  <c r="M442" i="7"/>
  <c r="M441" i="7"/>
  <c r="M440" i="7"/>
  <c r="M439" i="7"/>
  <c r="M438" i="7"/>
  <c r="M437" i="7"/>
  <c r="M436" i="7"/>
  <c r="M435" i="7"/>
  <c r="M434" i="7"/>
  <c r="M433" i="7"/>
  <c r="M432" i="7"/>
  <c r="M431" i="7"/>
  <c r="M430" i="7"/>
  <c r="M429" i="7"/>
  <c r="M428" i="7"/>
  <c r="M427" i="7"/>
  <c r="M426" i="7"/>
  <c r="M425" i="7"/>
  <c r="M424" i="7"/>
  <c r="M423" i="7"/>
  <c r="M422" i="7"/>
  <c r="M421" i="7"/>
  <c r="M420" i="7"/>
  <c r="M419" i="7"/>
  <c r="M418" i="7"/>
  <c r="M417" i="7"/>
  <c r="M416" i="7"/>
  <c r="M415" i="7"/>
  <c r="M414" i="7"/>
  <c r="M413" i="7"/>
  <c r="M412" i="7"/>
  <c r="M411" i="7"/>
  <c r="M410" i="7"/>
  <c r="M409" i="7"/>
  <c r="M408" i="7"/>
  <c r="M407" i="7"/>
  <c r="M406" i="7"/>
  <c r="M405" i="7"/>
  <c r="M404" i="7"/>
  <c r="M403" i="7"/>
  <c r="M402" i="7"/>
  <c r="M401" i="7"/>
  <c r="M400" i="7"/>
  <c r="M399" i="7"/>
  <c r="M398" i="7"/>
  <c r="M397" i="7"/>
  <c r="M396" i="7"/>
  <c r="M395" i="7"/>
  <c r="M394" i="7"/>
  <c r="M393" i="7"/>
  <c r="M392" i="7"/>
  <c r="M391" i="7"/>
  <c r="M390" i="7"/>
  <c r="M389" i="7"/>
  <c r="M388" i="7"/>
  <c r="M387" i="7"/>
  <c r="M386" i="7"/>
  <c r="M385" i="7"/>
  <c r="M384" i="7"/>
  <c r="M383" i="7"/>
  <c r="M382" i="7"/>
  <c r="M381" i="7"/>
  <c r="M380" i="7"/>
  <c r="M379" i="7"/>
  <c r="M378" i="7"/>
  <c r="M377" i="7"/>
  <c r="M376" i="7"/>
  <c r="M375" i="7"/>
  <c r="M374" i="7"/>
  <c r="M373" i="7"/>
  <c r="M372" i="7"/>
  <c r="M371" i="7"/>
  <c r="M370" i="7"/>
  <c r="M369" i="7"/>
  <c r="M368" i="7"/>
  <c r="M367" i="7"/>
  <c r="M366" i="7"/>
  <c r="M365" i="7"/>
  <c r="M364" i="7"/>
  <c r="M363" i="7"/>
  <c r="M362" i="7"/>
  <c r="M361" i="7"/>
  <c r="M360" i="7"/>
  <c r="M359" i="7"/>
  <c r="M358" i="7"/>
  <c r="M357" i="7"/>
  <c r="M356" i="7"/>
  <c r="M355" i="7"/>
  <c r="M354" i="7"/>
  <c r="M353" i="7"/>
  <c r="M352" i="7"/>
  <c r="M351" i="7"/>
  <c r="M350" i="7"/>
  <c r="M349" i="7"/>
  <c r="M348" i="7"/>
  <c r="M347" i="7"/>
  <c r="M346" i="7"/>
  <c r="M345" i="7"/>
  <c r="M344" i="7"/>
  <c r="M343" i="7"/>
  <c r="M342" i="7"/>
  <c r="M341" i="7"/>
  <c r="M340" i="7"/>
  <c r="M339" i="7"/>
  <c r="M338" i="7"/>
  <c r="M337" i="7"/>
  <c r="M336" i="7"/>
  <c r="M335" i="7"/>
  <c r="M334" i="7"/>
  <c r="M333" i="7"/>
  <c r="M332" i="7"/>
  <c r="M331" i="7"/>
  <c r="M330" i="7"/>
  <c r="M329" i="7"/>
  <c r="M328" i="7"/>
  <c r="M327" i="7"/>
  <c r="M326" i="7"/>
  <c r="M325" i="7"/>
  <c r="M324" i="7"/>
  <c r="M323" i="7"/>
  <c r="M322" i="7"/>
  <c r="M321" i="7"/>
  <c r="M320" i="7"/>
  <c r="M319" i="7"/>
  <c r="M318" i="7"/>
  <c r="M317" i="7"/>
  <c r="M316" i="7"/>
  <c r="M315" i="7"/>
  <c r="M314" i="7"/>
  <c r="M313" i="7"/>
  <c r="M312" i="7"/>
  <c r="M311" i="7"/>
  <c r="M310" i="7"/>
  <c r="M309" i="7"/>
  <c r="M308" i="7"/>
  <c r="M307" i="7"/>
  <c r="M306" i="7"/>
  <c r="M305" i="7"/>
  <c r="M304" i="7"/>
  <c r="M303" i="7"/>
  <c r="M302" i="7"/>
  <c r="M301" i="7"/>
  <c r="M300" i="7"/>
  <c r="M299" i="7"/>
  <c r="M298" i="7"/>
  <c r="M297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2" i="7"/>
  <c r="B61" i="4"/>
  <c r="B60" i="4"/>
  <c r="B55" i="4"/>
  <c r="B54" i="4"/>
  <c r="E62" i="4"/>
  <c r="E73" i="4"/>
  <c r="E75" i="4"/>
  <c r="E77" i="4"/>
  <c r="B59" i="4"/>
  <c r="B58" i="4"/>
  <c r="B57" i="4"/>
  <c r="B56" i="4"/>
  <c r="B53" i="4"/>
  <c r="B52" i="4"/>
  <c r="E112" i="4"/>
  <c r="E107" i="4"/>
  <c r="E105" i="4"/>
  <c r="E102" i="4"/>
  <c r="E97" i="4"/>
  <c r="E89" i="4"/>
  <c r="E79" i="4"/>
  <c r="E51" i="4"/>
  <c r="B112" i="4"/>
  <c r="B107" i="4"/>
  <c r="B105" i="4"/>
  <c r="B102" i="4"/>
  <c r="B97" i="4"/>
  <c r="B89" i="4"/>
  <c r="B79" i="4"/>
  <c r="B77" i="4"/>
  <c r="B73" i="4"/>
  <c r="B51" i="4"/>
  <c r="N15" i="9" l="1"/>
  <c r="N10" i="9"/>
  <c r="K74" i="4"/>
  <c r="L74" i="4"/>
  <c r="M74" i="4"/>
  <c r="N74" i="4"/>
  <c r="J74" i="4"/>
  <c r="K62" i="4"/>
  <c r="J62" i="4"/>
  <c r="K75" i="4"/>
  <c r="J75" i="4"/>
  <c r="K77" i="4"/>
  <c r="J77" i="4"/>
  <c r="K112" i="4"/>
  <c r="J112" i="4"/>
  <c r="K107" i="4"/>
  <c r="J107" i="4"/>
  <c r="K105" i="4"/>
  <c r="J105" i="4"/>
  <c r="K102" i="4"/>
  <c r="J102" i="4"/>
  <c r="K97" i="4"/>
  <c r="J97" i="4"/>
  <c r="K89" i="4"/>
  <c r="J89" i="4"/>
  <c r="K79" i="4"/>
  <c r="J79" i="4"/>
  <c r="K51" i="4"/>
  <c r="J51" i="4"/>
  <c r="N62" i="4"/>
  <c r="L62" i="4"/>
  <c r="M62" i="4"/>
  <c r="M75" i="4"/>
  <c r="L75" i="4"/>
  <c r="N75" i="4"/>
  <c r="L77" i="4"/>
  <c r="M77" i="4"/>
  <c r="N77" i="4"/>
  <c r="L112" i="4"/>
  <c r="M112" i="4"/>
  <c r="N112" i="4"/>
  <c r="L107" i="4"/>
  <c r="N107" i="4"/>
  <c r="M107" i="4"/>
  <c r="L105" i="4"/>
  <c r="M105" i="4"/>
  <c r="N105" i="4"/>
  <c r="M102" i="4"/>
  <c r="N102" i="4"/>
  <c r="L102" i="4"/>
  <c r="L97" i="4"/>
  <c r="M97" i="4"/>
  <c r="N97" i="4"/>
  <c r="L89" i="4"/>
  <c r="N89" i="4"/>
  <c r="M89" i="4"/>
  <c r="L79" i="4"/>
  <c r="M79" i="4"/>
  <c r="N79" i="4"/>
  <c r="M51" i="4"/>
  <c r="N51" i="4"/>
  <c r="L5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</author>
  </authors>
  <commentList>
    <comment ref="Q1" authorId="0" shapeId="0" xr:uid="{11D9C020-F07D-4E72-9C72-190FB5526B1E}">
      <text>
        <r>
          <rPr>
            <b/>
            <sz val="9"/>
            <color indexed="81"/>
            <rFont val="Tahoma"/>
            <family val="2"/>
          </rPr>
          <t>Coating 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0" shapeId="0" xr:uid="{C09DF54A-FA50-436B-853D-4EC9673259ED}">
      <text>
        <r>
          <rPr>
            <b/>
            <sz val="9"/>
            <color indexed="81"/>
            <rFont val="Tahoma"/>
            <family val="2"/>
          </rPr>
          <t>coating 02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<sst xmlns="http://schemas.openxmlformats.org/spreadsheetml/2006/main" count="15224" uniqueCount="2711">
  <si>
    <t>PVWood ERP v3 — BOMs</t>
  </si>
  <si>
    <t>★ = required. Fill master data first (items / glue recipes must already exist).</t>
  </si>
  <si>
    <t>ONE ROW PER SKU. The row defines the product (sku_name, pieces_per_unit, dims) AND</t>
  </si>
  <si>
    <t>its recipe. Fill each component's code + qty; leave a cell blank if unused (e.g. no</t>
  </si>
  <si>
    <t>back veneer). Glue can differ face vs back (face_glue_code / back_glue_code).</t>
  </si>
  <si>
    <t>Coating (face/back _coating_code + g/M2) = a primer (door skins) OR a UV topcoat</t>
  </si>
  <si>
    <t xml:space="preserve">  (panels). Fill only the side(s) that get coated — e.g. a door skin = base board +</t>
  </si>
  <si>
    <t xml:space="preserve">  face_coating_code + packing; a UV-topcoat panel = its normal rows + a coating.</t>
  </si>
  <si>
    <t>Transform_PVS / Transform_PSP: recipe lines (kind = INPUT/OUTPUT/STEP), one row each.</t>
  </si>
  <si>
    <t>All *_code / *_sku cells reference codes you defined in the master-data workbook.</t>
  </si>
  <si>
    <t>★ product_sku</t>
  </si>
  <si>
    <t>sku_name</t>
  </si>
  <si>
    <t>pieces_per_unit</t>
  </si>
  <si>
    <t>thickness_mm</t>
  </si>
  <si>
    <t>width_mm</t>
  </si>
  <si>
    <t>length_mm</t>
  </si>
  <si>
    <t>base_board_code</t>
  </si>
  <si>
    <t>base_board_qty</t>
  </si>
  <si>
    <t>face_veneer_code</t>
  </si>
  <si>
    <t>face_veneer_qty</t>
  </si>
  <si>
    <t>face_glue_code</t>
  </si>
  <si>
    <t>face_glue_qty</t>
  </si>
  <si>
    <t>back_veneer_code</t>
  </si>
  <si>
    <t>back_veneer_qty</t>
  </si>
  <si>
    <t>back_glue_code</t>
  </si>
  <si>
    <t>back_glue_qty</t>
  </si>
  <si>
    <t>face_coating_code</t>
  </si>
  <si>
    <t>Face_Coating_g/M2</t>
  </si>
  <si>
    <t>back_coating_code</t>
  </si>
  <si>
    <t>Back_Coating_g/M2</t>
  </si>
  <si>
    <t>packing_sku_code</t>
  </si>
  <si>
    <t>Notes</t>
  </si>
  <si>
    <t>1</t>
  </si>
  <si>
    <t>PKG-CARTON</t>
  </si>
  <si>
    <t>★ recipe_code</t>
  </si>
  <si>
    <t>★ name</t>
  </si>
  <si>
    <t>★ kind</t>
  </si>
  <si>
    <t>seq</t>
  </si>
  <si>
    <t>item_code</t>
  </si>
  <si>
    <t>role</t>
  </si>
  <si>
    <t>qty</t>
  </si>
  <si>
    <t>uom</t>
  </si>
  <si>
    <t>grade</t>
  </si>
  <si>
    <t>expected_yield_pct</t>
  </si>
  <si>
    <t>expected_loss_pct</t>
  </si>
  <si>
    <t>notes</t>
  </si>
  <si>
    <t>INPUT</t>
  </si>
  <si>
    <t>log</t>
  </si>
  <si>
    <t>m3</t>
  </si>
  <si>
    <t>A</t>
  </si>
  <si>
    <t>veneer</t>
  </si>
  <si>
    <t>m2</t>
  </si>
  <si>
    <t>4ALMX5CC1</t>
  </si>
  <si>
    <t>MDF/15.7*48.5*96.5 ALDER ALDER/ PC  PC/ PM  PM/ C  C/ 0.5  0.5</t>
  </si>
  <si>
    <t>BMCNX503</t>
  </si>
  <si>
    <t>XALPPC01</t>
  </si>
  <si>
    <t>Glue 09</t>
  </si>
  <si>
    <t>4ALMX5AC1</t>
  </si>
  <si>
    <t>MDF/15.7*48.5*96.5 ALDER ALDER/ PC  PC/ BM  PM/ A  C/ 0.5  0.5</t>
  </si>
  <si>
    <t>XALPBA01</t>
  </si>
  <si>
    <t>4ALBX9B21</t>
  </si>
  <si>
    <t>PB/19*49*97 ALDER ALDER/ PC  PC/ BM  MPF/ B  #2/ 0.5  0.5</t>
  </si>
  <si>
    <t>BPCNX805</t>
  </si>
  <si>
    <t>XALPBB03</t>
  </si>
  <si>
    <t>XALPM201</t>
  </si>
  <si>
    <t>4ALM52A11</t>
  </si>
  <si>
    <t>MDF/5.2*48.5*96.5 ALDER ALDER/ PC  PC/ BM  MPF/ A  #1/ 0.5  0.5</t>
  </si>
  <si>
    <t>BMCN4206</t>
  </si>
  <si>
    <t>XALPM101</t>
  </si>
  <si>
    <t>4ALM52A12</t>
  </si>
  <si>
    <t>MDF/5.2*48.5*96.5 ALDER ALDER/ PC  PC/ PM  MPF/ A  #1/ 0.5  0.5</t>
  </si>
  <si>
    <t>XALPPA01</t>
  </si>
  <si>
    <t>4ALM52A21</t>
  </si>
  <si>
    <t>MDF/5.2*48.5*96.5 ALDER ALDER/ PC  PC/ PM  MPF/ A  #2/ 0.5  0.5</t>
  </si>
  <si>
    <t>4ALM52AB1</t>
  </si>
  <si>
    <t>MDF/5.2*48.5*96.5 ALDER ALDER/ PC  PC/ BM  BM/ A  B/ 0.5  0.5</t>
  </si>
  <si>
    <t>XALPBB01</t>
  </si>
  <si>
    <t>4ALM52AB2</t>
  </si>
  <si>
    <t>MDF/5.2*48.5*96.5 ALDER ALDER/ PC  PC/ PM  PM/ A  B/ 0.5  0.5</t>
  </si>
  <si>
    <t>XALPPB01</t>
  </si>
  <si>
    <t>4ALM52AB3</t>
  </si>
  <si>
    <t>MDF/5.2*48.5*96.5 ALDER ALDER/ PC  PC/ BM  PM/ A  B/ 0.5  0.5</t>
  </si>
  <si>
    <t>4ALM52AB4</t>
  </si>
  <si>
    <t>MDF/5.2*48.5*96.5 ALDER ALDER/ PC  PC/ PM Horizontal  PM Horizontal/ A  B/ 0.5  0.5</t>
  </si>
  <si>
    <t>XALPPA04</t>
  </si>
  <si>
    <t>XALPPB04</t>
  </si>
  <si>
    <t>4ALM52B11</t>
  </si>
  <si>
    <t>MDF/5.2*48.5*96.5 ALDER ALDER/ PC  PC/ BM  MPF/ B  #1/ 0.5  0.5</t>
  </si>
  <si>
    <t>4ALM52B12</t>
  </si>
  <si>
    <t>MDF/5.2*48.5*96.5 ALDER ALDER/ PC  PC/ PM  MPF/ B  #1/ 0.5  0.5</t>
  </si>
  <si>
    <t>XALPPB03</t>
  </si>
  <si>
    <t>4ALM52B13</t>
  </si>
  <si>
    <t>MDF/5.2*48.5*72.5 ALDER ALDER/ PC  PC/ SM  SM/ B  #1/ 0.5  0.5</t>
  </si>
  <si>
    <t>CB-BMCZ0405</t>
  </si>
  <si>
    <t>XALPSB01</t>
  </si>
  <si>
    <t>4ALM52B14</t>
  </si>
  <si>
    <t>MDF/5.2*48.5*72.5 ALDER ALDER/ PC  PC/ BM  MPF/ B  #1/ 0.5  0.5</t>
  </si>
  <si>
    <t>XALPS101</t>
  </si>
  <si>
    <t>4ALM52B21</t>
  </si>
  <si>
    <t>MDF/5.2*48.5*96.5 ALDER ALDER/ PC  PC/ BM  BM/ B  #2/ 0.2  0.2</t>
  </si>
  <si>
    <t>BMCZ0420</t>
  </si>
  <si>
    <t>XALPZF01</t>
  </si>
  <si>
    <t>Glue 02</t>
  </si>
  <si>
    <t>4ALM52B22</t>
  </si>
  <si>
    <t>MDF/5.2*48.5*72.5 ALDER ALDER/ PC  PC/ PM  PM/ B  #2/ 0.5  0.5</t>
  </si>
  <si>
    <t>XALPP201</t>
  </si>
  <si>
    <t>4ALM52BB1</t>
  </si>
  <si>
    <t>MDF/5.2*48.5*96.5 ALDER ALDER/ PC  PC/ BM  BM/ B  B/ 0.5  0.5</t>
  </si>
  <si>
    <t>4ALM52BB2</t>
  </si>
  <si>
    <t>MDF/5.2*48.5*96.5 ALDER ALDER/ PC  PC/ PM  PM/ B  B/ 0.5  0.5</t>
  </si>
  <si>
    <t>4ALM52C21</t>
  </si>
  <si>
    <t>MDF/5.2*48.5*96.5 ALDER ALDER/ PC  PC/ PM  MPF/ C  #2/ 0.5  0.5</t>
  </si>
  <si>
    <t>4ALM52CC1</t>
  </si>
  <si>
    <t>MDF/5.2*48.5*96.5 ALDER ALDER/ PC  PC/ PM  PM/ C  C/ 0.5  0.5</t>
  </si>
  <si>
    <t>4ALM52R41</t>
  </si>
  <si>
    <t>MDF/5.2*48.5*96.5 ALDER ALDER/ PC  PC/ PM  MPF/ RUSTIC+  #4/ 0.5  0.5</t>
  </si>
  <si>
    <t>XALPPR02</t>
  </si>
  <si>
    <t>XALPM401</t>
  </si>
  <si>
    <t>4ALM52RR1</t>
  </si>
  <si>
    <t>MDF/5.2*48.5*96.5 ALDER ALDER/ PC  PC/ PM  PM/ RUSTIC  RUSTIC/ 0.5  0.5</t>
  </si>
  <si>
    <t>XALPPR01</t>
  </si>
  <si>
    <t>4ALM52RR2</t>
  </si>
  <si>
    <t>MDF/5.2*48.5*96.5 ALDER ALDER/ PC  PC/ PM  PM/ RUSTIC+  RUSTIC+/ 0.5  0.5</t>
  </si>
  <si>
    <t>4ALM52RR3</t>
  </si>
  <si>
    <t>MDF/5.2*48.5*96.5 ALDER ALDER/ PC  PC/ PM  PM/ RUSTIC+  RUSTIC/ 0.5  0.5</t>
  </si>
  <si>
    <t>4ALM52S11</t>
  </si>
  <si>
    <t>MDF/5.2*48.5*96.5 ALDER ALDER/ PC  PC/ PM  MPF/ STK  #1/ 0.5  0.5</t>
  </si>
  <si>
    <t>XALPPS01</t>
  </si>
  <si>
    <t>4ALM52SS1</t>
  </si>
  <si>
    <t>MDF/5.2*48.5*96.5 ALDER ALDER/ PC  PC/ PM  PM/ STK  STK/ 0.5  0.5</t>
  </si>
  <si>
    <t>4ALM52112</t>
  </si>
  <si>
    <t>MDF/5.2*48.5*96.5 ALDER ALDER/ PC  PC/ MPF  MPF/ #1  #1/ 0.5  0.5</t>
  </si>
  <si>
    <t>4ALPX9RR3</t>
  </si>
  <si>
    <t>PlatformJS/19*48.5*96.5 ALDER ALDER/ PC  PC/ PM  PM/ RUSTIC  RUSTIC/ 0.5  0.5</t>
  </si>
  <si>
    <t>BFCC1801</t>
  </si>
  <si>
    <t>4ALPX9RR5</t>
  </si>
  <si>
    <t>PlatformTW/19*48.5*96.5 ALDER ALDER/ PC  PC/ PM  PM/ RUSTIC  RUSTIC/ 0.5  0.5</t>
  </si>
  <si>
    <t>4ALXX9AB3</t>
  </si>
  <si>
    <t>VCMX/19*48.5*96.5 ALDER ALDER/ PC  PC/ PM  PM/ A  B/ 0.5  0.5</t>
  </si>
  <si>
    <t>BXCZ1803</t>
  </si>
  <si>
    <t>4ALXX9B11</t>
  </si>
  <si>
    <t>VCMX/19*48.5*96.5 ALDER ALDER/ PC  PC/ BM  MPF/ B  #1/ 0.5  0.5</t>
  </si>
  <si>
    <t>4ALXX9RR1</t>
  </si>
  <si>
    <t>VCMX/19*48.5*96.5 ALDER ALDER/ PC  PC/ PM  PM/ RUSTIC  RUSTIC/ 0.5  0.5</t>
  </si>
  <si>
    <t>4ASM52B21</t>
  </si>
  <si>
    <t>MDF/5.2*48.5*96.5 W.ASH W.ASH/ PC  PC/ BM  MPF/ B  #2/ 0.5  0.5</t>
  </si>
  <si>
    <t>XASPBB01</t>
  </si>
  <si>
    <t>XASPZ201</t>
  </si>
  <si>
    <t>Glue 03</t>
  </si>
  <si>
    <t>4ASM52B22</t>
  </si>
  <si>
    <t>MDF/5.2*48.5*96.5 W.ASH W.ASH/ PC  PC/ BM  MPF/ B  #2/ 0.2  0.2</t>
  </si>
  <si>
    <t>XASPZB01</t>
  </si>
  <si>
    <t>4BEBX9B21</t>
  </si>
  <si>
    <t>PB/19*49*97 BEECH BEECH/ RC  RC/ WPF  WPF/ B NO FIG  #2/ 0.5  0.5</t>
  </si>
  <si>
    <t>XBERWB02</t>
  </si>
  <si>
    <t>XBERW201</t>
  </si>
  <si>
    <t>4BEM52A11</t>
  </si>
  <si>
    <t>MDF/5.2*48.5*96.5 BEECH BEECH/ RC  RC/ WPF  MPF/ A  #1/ 0.5  0.5</t>
  </si>
  <si>
    <t>XBERWA01</t>
  </si>
  <si>
    <t>XBERM101</t>
  </si>
  <si>
    <t>4BEM52A21</t>
  </si>
  <si>
    <t>MDF/5.2*48.5*96.5 BEECH BEECH/ RC  RC/ WPF  WPF/ A  #2/ 0.5  0.5</t>
  </si>
  <si>
    <t>4BEM52AB1</t>
  </si>
  <si>
    <t>MDF/5.2*48.5*96.5 BEECH BEECH/ RC  RC/ WPF  WPF/ A  B/ 0.5  0.5</t>
  </si>
  <si>
    <t>XBERWB01</t>
  </si>
  <si>
    <t>4BEM52AB2</t>
  </si>
  <si>
    <t>MDF/5.2*48.5*96.5 BEECH BEECH/ RC  RC/ WPF  WPF/ A UK  B UK/ 0.5  0.5</t>
  </si>
  <si>
    <t>XBERWA02</t>
  </si>
  <si>
    <t>XBERWB04</t>
  </si>
  <si>
    <t>4BEM52B11</t>
  </si>
  <si>
    <t>MDF/5.2*48.5*96.5 BEECH BEECH/ PC  PC/ BM  MPF/ B  #1/ 0.5  0.5</t>
  </si>
  <si>
    <t>XBEPBB02</t>
  </si>
  <si>
    <t>XBEPM101</t>
  </si>
  <si>
    <t>4BEM52B12</t>
  </si>
  <si>
    <t>MDF/5.2*48.5*96.5 BEECH BEECH/ RC  RC/ SM  MPF/ B NO FIG  #1/ 0.5  0.5</t>
  </si>
  <si>
    <t>XBERSB02</t>
  </si>
  <si>
    <t>4BEM52B13</t>
  </si>
  <si>
    <t>MDF/5.2*48.5*96.5 BEECH BEECH/ RC  RC/ WPF  WPF/ B NO FIG  #1/ 0.5  0.5</t>
  </si>
  <si>
    <t>XBERW101</t>
  </si>
  <si>
    <t>4BEM52B21</t>
  </si>
  <si>
    <t>MDF/5.2*48.5*96.5 BEECH BEECH/ PC  PC/ BM  MPF/ B  #2/ 0.5  0.5</t>
  </si>
  <si>
    <t>XBEPM201</t>
  </si>
  <si>
    <t>4BEM52B22</t>
  </si>
  <si>
    <t>MDF/5.2*48.5*96.5 BEECH BEECH/ RC  RC/ SM  WPF/ B NO FIG  #2/ 0.5  0.5</t>
  </si>
  <si>
    <t>4BEM52B23</t>
  </si>
  <si>
    <t>MDF/5.2*48.5*96.5 BEECH BEECH/ RC  RC/ WPF  WPF/ B  #2/ 0.5  0.5</t>
  </si>
  <si>
    <t>4BEM52BB1</t>
  </si>
  <si>
    <t>MDF/5.2*48.5*96.5 BEECH BEECH/ RC  RC/ WPF  WPF/ B NO FIG  B NO FIG/ 0.5  0.5</t>
  </si>
  <si>
    <t>4BEM90B11</t>
  </si>
  <si>
    <t>MDF/9*48.5*96.5 BEECH BEECH/ RC  RC/ WPF  MPF/ B  #1/ 0.5  0.5</t>
  </si>
  <si>
    <t>BMCN8003</t>
  </si>
  <si>
    <t>4BEM95B21</t>
  </si>
  <si>
    <t>MDF/9.5*48.5*96.5 BEECH BEECH/ RC  RC/ WPF  MPF/ B NO FIG  #2/ 0.5  0.5</t>
  </si>
  <si>
    <t>BMCN8004</t>
  </si>
  <si>
    <t>XBERM201</t>
  </si>
  <si>
    <t>4BEMX9A11</t>
  </si>
  <si>
    <t>MDF/19*48.5*120.5 BEECH BEECH/ PC  PC/ SM  MPF/ A  #1/ 0.5  0.5</t>
  </si>
  <si>
    <t>BMCNX807</t>
  </si>
  <si>
    <t>XBEPSA02</t>
  </si>
  <si>
    <t>XBEPM103</t>
  </si>
  <si>
    <t>4BEMX9B11</t>
  </si>
  <si>
    <t>MDF/19*48.5*96.5 BEECH BEECH/ RC  RC/ WPF  MPF/ B NO FIG  #1/ 0.5  0.5</t>
  </si>
  <si>
    <t>BMCNX805</t>
  </si>
  <si>
    <t>4BEPX8B23</t>
  </si>
  <si>
    <t>PlatformTW/18*48.5*96.5 BEECH BEECH/ RC  RC/ WPF  MPF/ B  #2/ 0.5  0.5</t>
  </si>
  <si>
    <t>BFCC1702</t>
  </si>
  <si>
    <t>4CHM52A11</t>
  </si>
  <si>
    <t>MDF/5.2*48.5*96.5 CHERRY CHERRY/ PC  PC/ BM  MPF/ A  #1/ 0.5  0.5</t>
  </si>
  <si>
    <t>XCHPBA01</t>
  </si>
  <si>
    <t>XCHPM101</t>
  </si>
  <si>
    <t>4CHM52A12</t>
  </si>
  <si>
    <t>MDF/5.2*48.5*96.5 CHERRY CHERRY/ PC  PC/ BM  MPF/ A  #1/ 0.2  0.2</t>
  </si>
  <si>
    <t>XCHPZA01</t>
  </si>
  <si>
    <t>XCHPZ201</t>
  </si>
  <si>
    <t>4CHM52A21</t>
  </si>
  <si>
    <t>MDF/5.2*48.5*96.5 CHERRY  CHERRY / PC   PC / BM  MPF/ A  #2/ 0.2  0.2</t>
  </si>
  <si>
    <t>4CHM52B11</t>
  </si>
  <si>
    <t>MDF/5.2*48.5*96.5 CHERRY CHERRY/ PC  PC/ SM  MPF/ B  #1/ 0.5  0.5</t>
  </si>
  <si>
    <t>XCHPSB01</t>
  </si>
  <si>
    <t>4CHM52B21</t>
  </si>
  <si>
    <t>MDF/5.2*48.5*96.5 CHERRY CHERRY/ PC  PC/ BM  MPF/ B  #2/ 0.2  0.2</t>
  </si>
  <si>
    <t>XCHPZB01</t>
  </si>
  <si>
    <t>4CHM52B22</t>
  </si>
  <si>
    <t>MDF/5.2*48.5*96.5 CHERRY EV POPLAR/ PC  Z/ BM  WPF/ B  #2/ 0.2  0.2</t>
  </si>
  <si>
    <t>XEPZW201</t>
  </si>
  <si>
    <t>Glue 14</t>
  </si>
  <si>
    <t>4CHM52C11</t>
  </si>
  <si>
    <t>MDF/5.2*48.5*96.5 CHERRY CHERRY/ PC  PC/ SM  MPF/ C  #1/ 0.5  0.5</t>
  </si>
  <si>
    <t>XCHPSC01</t>
  </si>
  <si>
    <t>4CHM52CS2</t>
  </si>
  <si>
    <t>MDF/5.2*48.5*96.5 CHERRY  OKOUME / PC   RC/ SM  WPF/ C  SOUND/ 0.5  0.3</t>
  </si>
  <si>
    <t>XOKRWS01</t>
  </si>
  <si>
    <t>Glue 07</t>
  </si>
  <si>
    <t>4HIM52B11</t>
  </si>
  <si>
    <t>MDF/5.2*48.5*96.5 HICKORY HICKORY/ PC  PC/ BM  MPF/ B CALICO  #1/ 0.5  0.5</t>
  </si>
  <si>
    <t>XHIPBB02</t>
  </si>
  <si>
    <t>XHIPM101</t>
  </si>
  <si>
    <t>4HIM52B21</t>
  </si>
  <si>
    <t>MDF/5.2*48.5*96.5 HICKORY HICKORY/ PC  PC/ BM  MPF/ B CALICO  #2/ 0.5  0.5</t>
  </si>
  <si>
    <t>XHIPM201</t>
  </si>
  <si>
    <t>4HIM52B22</t>
  </si>
  <si>
    <t>MDF/5.2*48*96 HICKORY EV POPLAR/ PC  Z/ BM  WPF/ B CALICO  #2/ 0.2  0.2</t>
  </si>
  <si>
    <t>BMCN4502</t>
  </si>
  <si>
    <t>XHIPZB01</t>
  </si>
  <si>
    <t>Glue 01</t>
  </si>
  <si>
    <t>4HIM52B24</t>
  </si>
  <si>
    <t>MDF/5.2*48.5*96.5 HICKORY HICKORY/ PC  -/ BM  MPF/ B CALICO  #2/ 0.2  0.2</t>
  </si>
  <si>
    <t>XHIPZ201</t>
  </si>
  <si>
    <t>4HIM52BS3</t>
  </si>
  <si>
    <t>MDF/5.2*48.5*96.5 HICKORY OKOUME / PC  RC/ BM  WPF/ B Heartwood  SOUND/ 0.5  0.3</t>
  </si>
  <si>
    <t>XHIPBB03</t>
  </si>
  <si>
    <t>4KNM52A21</t>
  </si>
  <si>
    <t>MDF/5.2*48.5*96.5 Knotty Pine Knotty Pine/ PC  PC/ PM  MPF/ A  #2/ 0.5  0.5</t>
  </si>
  <si>
    <t>XKNPPA01</t>
  </si>
  <si>
    <t>XKNPP201</t>
  </si>
  <si>
    <t>4NBPX9A14</t>
  </si>
  <si>
    <t>PlatformTW/19*48.5*96.5 N.BIRCH N.BIRCH/ RC  RC/ WPF  MPF/ A  #1/ 0.5  0.5</t>
  </si>
  <si>
    <t>XNBRWA02</t>
  </si>
  <si>
    <t>Glue 13</t>
  </si>
  <si>
    <t>XNBRW101</t>
  </si>
  <si>
    <t>4ROM52B11</t>
  </si>
  <si>
    <t>MDF/5.2*48.5*96.5 R.OAK R.OAK/ PC  PC/ SM  MPF/ B  #1/ 0.5  0.5</t>
  </si>
  <si>
    <t>XROPSB01</t>
  </si>
  <si>
    <t>XROPM101</t>
  </si>
  <si>
    <t>4ROM52B13</t>
  </si>
  <si>
    <t>MDF/5.2*48.5*96.5 R.OAK R.OAK/ RC  RC/ WPF  WPF/ B  #1/ 0.5  0.5</t>
  </si>
  <si>
    <t>XRORWB01</t>
  </si>
  <si>
    <t>XRORW101</t>
  </si>
  <si>
    <t>4ROM52B14</t>
  </si>
  <si>
    <t>MDF/5.2*48*96 R.OAK EV POPLAR/ PC  Z/ BM  WPF/ B  #1/ 0.2  0.2</t>
  </si>
  <si>
    <t>XROPZF11</t>
  </si>
  <si>
    <t>XEPZW101</t>
  </si>
  <si>
    <t>4ROM52B21</t>
  </si>
  <si>
    <t>MDF/5.2*48.5*96.5 R.OAK R.OAK/ PC  PC/ BM  MPF/ B  #2/ 0.5  0.5</t>
  </si>
  <si>
    <t>XROPBB01</t>
  </si>
  <si>
    <t>XROPM201</t>
  </si>
  <si>
    <t>4ROM52B22</t>
  </si>
  <si>
    <t>MDF/5.2*48.5*96.5 R.OAK R.OAK/ RC  RC/ WPF  MPF/ B  #2/ 0.5  0.5</t>
  </si>
  <si>
    <t>XRORM201</t>
  </si>
  <si>
    <t>4ROM52B23</t>
  </si>
  <si>
    <t>MDF/5.2*48.5*96.5 R.OAK R.OAK/ PC  PC/ BM  MPF/ B  #2/ 0.2  0.2</t>
  </si>
  <si>
    <t>4ROM52A21</t>
  </si>
  <si>
    <t>MDF/5.2*48.5*96.5 R.OAK R.OAK/ PC  PC/ BM  MPF/ A  #2/ 0.2  0.2</t>
  </si>
  <si>
    <t>4ROM52BS2</t>
  </si>
  <si>
    <t>MDF/5.2*48.5*96.5 R.OAK OKOUME / PC  RC/ SM  WPF/ B  SOUND/ 0.5  0.3</t>
  </si>
  <si>
    <t>4ROM59B21</t>
  </si>
  <si>
    <t>MDF/5.9*48*96 R.OAK R.OAK/ RC  RC/ WPF  MPF/ B  #2/ 0.5  0.5</t>
  </si>
  <si>
    <t>BMCZ0503</t>
  </si>
  <si>
    <t>4ROM60BC1</t>
  </si>
  <si>
    <t>MDF/6*48.5*96.5 R.OAK R.OAK/ PC  PC/ BM  MPF/ B  C/ 0.2  0.2</t>
  </si>
  <si>
    <t>BMCN5502</t>
  </si>
  <si>
    <t>4ROMX8B21</t>
  </si>
  <si>
    <t>MDF/18*48.5*96.5 R.OAK R.OAK/ PC  PC/ BM  MPF/ B  #2/ 0.2  0.2</t>
  </si>
  <si>
    <t>4ROP52B21</t>
  </si>
  <si>
    <t>PlatformTW/5.2*48.5*96.5 R.OAK R.OAK/ PC  PC/ BM  MPF/ B  #2/ 0.2  0.2</t>
  </si>
  <si>
    <t>BFCC0401</t>
  </si>
  <si>
    <t>4ROPX9B27</t>
  </si>
  <si>
    <t>PlatformQS/19*48.5*96.5 R.OAK R.OAK/ RC  RC/ WPF  MPF/ B  #2/ 0.5  0.5</t>
  </si>
  <si>
    <t>4TEM52AB1</t>
  </si>
  <si>
    <t>MDF/5.2*48.5*96.5 TEAK TEAK/ PC  PC/ BM  BM/ A  B/ 0.2  0.2</t>
  </si>
  <si>
    <t>XTEPZB01</t>
  </si>
  <si>
    <t>Glue 05</t>
  </si>
  <si>
    <t>4WABX9A11</t>
  </si>
  <si>
    <t>PB/19*48.5*96.5 WALNUT WALNUT/ PC  PC/ BM  MPF/ A  #1/ 0.5  0.5</t>
  </si>
  <si>
    <t>XWAPBA01</t>
  </si>
  <si>
    <t>XWAPM101</t>
  </si>
  <si>
    <t>4WAM52A11</t>
  </si>
  <si>
    <t>MDF/5.2*48.5*96.5 WALNUT WALNUT/ PC  PC/ BM  BM/ A  #1/ 0.5  0.5</t>
  </si>
  <si>
    <t>XWAPB101</t>
  </si>
  <si>
    <t>4WAM52A12</t>
  </si>
  <si>
    <t>MDF/5.2*48.5*96.5 WALNUT WALNUT/ PC  PC/ BM  BM/ A  #1/ 0.2  0.2</t>
  </si>
  <si>
    <t>XWAPZB01</t>
  </si>
  <si>
    <t>XWAPZ201</t>
  </si>
  <si>
    <t>4WAM52A13</t>
  </si>
  <si>
    <t>4WAM52A21</t>
  </si>
  <si>
    <t>MDF/5.2*48.5*96.5 WALNUT WALNUT/ PC  PC/ BM  -/ A  #2/ 0.2  0.2</t>
  </si>
  <si>
    <t>4WAM52A22</t>
  </si>
  <si>
    <t>MDF/5.2*48.5*96.5 WALNUT WALNUT/ PC  PC/ BM  MPF/ A  #2/ 0.2  0.2</t>
  </si>
  <si>
    <t>4WAM52A23</t>
  </si>
  <si>
    <t>MDF/5.2*48.5*96.5 WALNUT WALNUT/ QC  QC/ SM  MPF/ A  #2/ 0.2  0.2</t>
  </si>
  <si>
    <t>XWAQZB01</t>
  </si>
  <si>
    <t>XWAQZ201</t>
  </si>
  <si>
    <t>4WAM52B11</t>
  </si>
  <si>
    <t>MDF/5.2*48.5*96.5 WALNUT WALNUT/ PC  PC/ BM  BM/ B 5 INCH  #1/ 0.5  0.5</t>
  </si>
  <si>
    <t>XWAPBB03</t>
  </si>
  <si>
    <t>4WAM52B21</t>
  </si>
  <si>
    <t>MDF/5.2*48.5*96.5 WALNUT WALNUT/ PC  PC/ BM  MPF/ B  #2/ 0.2  0.2</t>
  </si>
  <si>
    <t>4WAM52B22</t>
  </si>
  <si>
    <t>MDF/5.2*48.5*96.5 WALNUT WALNUT/ PC  PC/ BM  BM/ B  #2/ 0.5  0.5</t>
  </si>
  <si>
    <t>XWAPBB01</t>
  </si>
  <si>
    <t>XWAPB201</t>
  </si>
  <si>
    <t>4WAM52BC1</t>
  </si>
  <si>
    <t>MDF/5.2*48.5*96.5 WALNUT WALNUT/ PC  PC/ BM  MPF/ B  C/ 0.2  0.2</t>
  </si>
  <si>
    <t>4WAM52B24</t>
  </si>
  <si>
    <t>MDF/5.2*48.5*96.5 WALNUT WALNUT/ PC  PC/ BM  MPF/ B UV  #2/ 0.2  0.2</t>
  </si>
  <si>
    <t>4WAM60BC1</t>
  </si>
  <si>
    <t>MDF/6*48.5*96.5 WALNUT WALNUT/ PC  PC/ BM  MPF/ B  C/ 0.2  0.2</t>
  </si>
  <si>
    <t>4WAMX8B21</t>
  </si>
  <si>
    <t>MDF/18*48.5*96.5 WALNUT WALNUT/ PC  PC/ BM  MPF/ B  #2/ 0.2  0.2</t>
  </si>
  <si>
    <t>4WAMX9AC2</t>
  </si>
  <si>
    <t>MDF/19*48.5*96.5 WALNUT WALNUT/ PC  PC/ BM  BM/ A SQ&amp;N  C/ 0.5  0.5</t>
  </si>
  <si>
    <t>XWAPBA02</t>
  </si>
  <si>
    <t>XWAPBC01</t>
  </si>
  <si>
    <t>4WAMX9A14</t>
  </si>
  <si>
    <t>MDF/19*48.5*96.5 WALNUT WALNUT/ QC  QC/ BM  MPF/ AA  #1/ 0.5  0.5</t>
  </si>
  <si>
    <t>XWAQBA02</t>
  </si>
  <si>
    <t>XWAQM102</t>
  </si>
  <si>
    <t>4WAMX9A15</t>
  </si>
  <si>
    <t>MDF/19*48.5*120.5 WALNUT WALNUT/ QC  QC/ BM  MPF/ AA  #1/ 0.5  0.5</t>
  </si>
  <si>
    <t>XWAQBA03</t>
  </si>
  <si>
    <t>XWAQM101</t>
  </si>
  <si>
    <t>4WAPX9B14</t>
  </si>
  <si>
    <t>PlatformAX/19*48.5*96.5 WALNUT WALNUT/ PC  PC/ BM  MPF/ B  #1/ 0.5  0.5</t>
  </si>
  <si>
    <t>BVCT1801</t>
  </si>
  <si>
    <t>4WAXX9AC2</t>
  </si>
  <si>
    <t>VCMX/19*48.5*96.5 WALNUT WALNUT/ PC  PC/ BM  BM/ A SQ&amp;N  C/ 0.5  0.5</t>
  </si>
  <si>
    <t>4WBBX9C21</t>
  </si>
  <si>
    <t>PB/19*49*97 W.BIRCH W.BIRCH/ RC  RC/ WPF  WPF/ C  #2/ 0.3  0.3</t>
  </si>
  <si>
    <t>XWBRWC01</t>
  </si>
  <si>
    <t>Glue 06</t>
  </si>
  <si>
    <t>XWBRW201</t>
  </si>
  <si>
    <t>4WBBX9DE1</t>
  </si>
  <si>
    <t>PB/19*48.5*96.5 W.BIRCH W.BIRCH/ RC  RC/ WPF  WPF/ D  E/ 0.3  0.3</t>
  </si>
  <si>
    <t>XWBRWD01</t>
  </si>
  <si>
    <t>XWBRWE01</t>
  </si>
  <si>
    <t>4WBM30C21</t>
  </si>
  <si>
    <t>MDF/3*48.5*96.5 W.BIRCH W.BIRCH/ RC  RC/ WPF  WPF/ C  #2/ 0.3  0.3</t>
  </si>
  <si>
    <t>BMCZ0218</t>
  </si>
  <si>
    <t>4WBM52B11</t>
  </si>
  <si>
    <t>MDF/5.2*48.5*96.5 W.BIRCH W.BIRCH/ RC  RC/ WPF  WPF/ B  #1/ 0.3  0.3</t>
  </si>
  <si>
    <t>XWBRWB01</t>
  </si>
  <si>
    <t>XWBRW101</t>
  </si>
  <si>
    <t>4WBM52B21</t>
  </si>
  <si>
    <t>MDF/5.2*48.5*96.5 W.BIRCH W.BIRCH/ RC  RC/ WPF  WPF/ B  #2/ 0.3  0.3</t>
  </si>
  <si>
    <t>4WBM52C21</t>
  </si>
  <si>
    <t>MDF/5.2*48.5*96.5 W.BIRCH W.BIRCH/ RC  RC/ WPF  WPF/ C  #2/ 0.3  0.3</t>
  </si>
  <si>
    <t>4WBM52DE2</t>
  </si>
  <si>
    <t>MDF/5.2*48.5*84.5 W.BIRCH W.BIRCH/ RC  RC/ WPF  WPF/ D+ UV  E/ 0.3  0.3</t>
  </si>
  <si>
    <t>BMCN4501</t>
  </si>
  <si>
    <t>XWBRWD05</t>
  </si>
  <si>
    <t>4WBM52DE3</t>
  </si>
  <si>
    <t>MDF/5.2*48*96 W.BIRCH W.BIRCH/ RC  RC/ WPF  WPF/ D UV  E/ 0.3  0.3</t>
  </si>
  <si>
    <t>XWBRWD06</t>
  </si>
  <si>
    <t>4WBM52DE4</t>
  </si>
  <si>
    <t>MDF/5.2*48*96 W.BIRCH W.BIRCH/ RC  RC/ WPF  WPF/ D  E/ 0.3  0.3</t>
  </si>
  <si>
    <t>4WBM52C22</t>
  </si>
  <si>
    <t>MDF/5.2*48.5*96.5 W.BIRCH W.BIRCH/ RC  RC/ WPF  MPF/ C UV  #2/ 0.3  0.3</t>
  </si>
  <si>
    <t>4WBM55C21</t>
  </si>
  <si>
    <t>MDF/5.5*48.5*96.5 W.BIRCH W.BIRCH/ RC  RC/ WPF  WPF/ C UV  #2/ 0.3  0.3</t>
  </si>
  <si>
    <t>4WBM60B21</t>
  </si>
  <si>
    <t>MDF/6*48.5*96.5 W.BIRCH W.BIRCH/ RC  RC/ WPF  WPF/ B  #2/ 0.3  0.3</t>
  </si>
  <si>
    <t>4WBM90B21</t>
  </si>
  <si>
    <t>MDF/9*48.5*96.5 W.BIRCH W.BIRCH/ RC  RC/ WPF  WPF/ B  #2/ 0.3  0.3</t>
  </si>
  <si>
    <t>4WBPX2DD2</t>
  </si>
  <si>
    <t>PlatformJA/12*48.5*96.5 W.BIRCH W.BIRCH/ RC  RC/ WPF  WPF/ D+  D/ 0.3  0.3</t>
  </si>
  <si>
    <t>BFCC1104</t>
  </si>
  <si>
    <t>XWBRWD04</t>
  </si>
  <si>
    <t>XWBRWD03</t>
  </si>
  <si>
    <t>4WBPX2DE2</t>
  </si>
  <si>
    <t>PlatformFR/12*48.5*96.5 W.BIRCH W.BIRCH/ RC  RC/ WPF  MPF/ D+ UV  E/ 0.3  0.3</t>
  </si>
  <si>
    <t>4WBPX2DE3</t>
  </si>
  <si>
    <t>PlatformDH/12*48.5*96.5 W.BIRCH  W.BIRCH / RC   RC / WPF  WPF/ D DH  E DH/ 0.3  0.3</t>
  </si>
  <si>
    <t>4WBPX2DE5</t>
  </si>
  <si>
    <t>PlatformDH/12*48.5*96.5 W.BIRCH  W.BIRCH / RC   RC / WPF  WPF/ D DH UV  E DH UV/ 0.3  0.3</t>
  </si>
  <si>
    <t>4WBPX2DE7</t>
  </si>
  <si>
    <t>PlatformEU/12*48.5*96.5 W.BIRCH  W.BIRCH / RC   RC / WPF  WPF/ D  E/ 0.3  0.3</t>
  </si>
  <si>
    <t>4WBPX8DE2</t>
  </si>
  <si>
    <t>PlatformEU/18*48.5*96.5 W.BIRCH W.BIRCH/ RC  RC/ WPF  WPF/ D UV  E UV/ 0.3  0.3</t>
  </si>
  <si>
    <t>4WBPX5DE2</t>
  </si>
  <si>
    <t>PlatformDH/15*48.5*96.5 W.BIRCH  W.BIRCH / RC   RC / WPF  WPF/ D DH  E DH / 0.3  0.3</t>
  </si>
  <si>
    <t>BFCC1401</t>
  </si>
  <si>
    <t>4WBPX5DE3</t>
  </si>
  <si>
    <t>PlatformDH/15*48.5*96.5 W.BIRCH  W.BIRCH / RC   RC / WPF  WPF/ D DH UV  E DH UV/ 0.3  0.3</t>
  </si>
  <si>
    <t>4WBPX8DE4</t>
  </si>
  <si>
    <t>PlatformDH/18*48.5*96.5 W.BIRCH  W.BIRCH / RC   RC / WPF  WPF/ D DH UV  E DH / 0.3  0.3</t>
  </si>
  <si>
    <t>4WBPX8DE5</t>
  </si>
  <si>
    <t>PlatformDH/18*48.5*96.5 W.BIRCH  W.BIRCH / RC   RC / WPF  WPF/ D DH UV  E DH UV/ 0.3  0.3</t>
  </si>
  <si>
    <t>4WBPX8DE3</t>
  </si>
  <si>
    <t>PlatformDH/18*48.5*96.5 W.BIRCH  W.BIRCH / RC   RC / WPF  WPF/ D DH  E DH/ 0.3  0.3</t>
  </si>
  <si>
    <t>4WBPX8DE8</t>
  </si>
  <si>
    <t>PlatformEU/18*48.5*96.5 W.BIRCH  W.BIRCH / RC   RC / WPF  WPF/ D UV  E/ 0.3  0.3</t>
  </si>
  <si>
    <t>4WBPX8DE9</t>
  </si>
  <si>
    <t>PlatformAX/18*48.5*96.5 W.BIRCH  W.BIRCH / RC   RC / WPF  WPF/ D+ UV  E UV/ 0.3  0.3</t>
  </si>
  <si>
    <t>BFCT1701</t>
  </si>
  <si>
    <t>4WBPX8DEB</t>
  </si>
  <si>
    <t>PlatformAX/18*48.5*96.5 W.BIRCH  W.BIRCH / RC   RC / WPF  WPF/ D  E/ 0.3  0.3</t>
  </si>
  <si>
    <t>4WBPX8DEA</t>
  </si>
  <si>
    <t>PlatformAX/18*48.5*96.5 W.BIRCH  W.BIRCH / RC   RC / WPF  WPF/ D UV  E/ 0.3  0.3</t>
  </si>
  <si>
    <t>4WBPX9DD5</t>
  </si>
  <si>
    <t>PlatformAX/19*48.5*96.5 W.BIRCH W.BIRCH/ RC  RC/ WPF  WPF/ D+  D/ 0.3  0.3</t>
  </si>
  <si>
    <t>4WBPX8C21</t>
  </si>
  <si>
    <t>PlatformTW/18*48.5*96.5 W.BIRCH  W.BIRCH / RC   RC/ WPF  MPF/ C UV  #2 UV Primed/ 0.3  0.3</t>
  </si>
  <si>
    <t>4WBOX8DE1</t>
  </si>
  <si>
    <t>OCMX/18*48.5*96.5 W.BIRCH W.BIRCH/ RC  RC/ WPF  WPF/ D  E/ 0.3  0.3</t>
  </si>
  <si>
    <t>CB-BOCZ1701</t>
  </si>
  <si>
    <t>4WBOX8DE2</t>
  </si>
  <si>
    <t>OCMX/18*48.5*96.5 W.BIRCH W.BIRCH/ RC  RC/ WPF  WPF/ D UV  E UV/ 0.3  0.3</t>
  </si>
  <si>
    <t>4WMBX9111</t>
  </si>
  <si>
    <t>PB/19*49*97 W.MAPLE W.MAPLE/ RC  RC/ WPF  WPF/ #1  #1/ 0.3  0.3</t>
  </si>
  <si>
    <t>XWMRW102</t>
  </si>
  <si>
    <t>Glue 10</t>
  </si>
  <si>
    <t>XWMRW101</t>
  </si>
  <si>
    <t>4WMBX9B11</t>
  </si>
  <si>
    <t>PB/19*48.5*120.5 W.MAPLE W.MAPLE/ RC  RC/ WPF  WPF/ B  #1/ 0.3  0.3</t>
  </si>
  <si>
    <t>BPCNX806</t>
  </si>
  <si>
    <t>XWMRWB08</t>
  </si>
  <si>
    <t>XWMRW129</t>
  </si>
  <si>
    <t>4WMBX9B12</t>
  </si>
  <si>
    <t>PB/19*48.5*96.5 W.MAPLE W.MAPLE/ RC  RC/ WPF  WPF/ B  #1/ 0.3  0.3</t>
  </si>
  <si>
    <t>XWMRWB01</t>
  </si>
  <si>
    <t>4WMBX9B21</t>
  </si>
  <si>
    <t>PB/19*49*97 W.MAPLE W.MAPLE/ RC  RC/ WPF  WPF/ B  #2/ 0.3  0.3</t>
  </si>
  <si>
    <t>XWMRW201</t>
  </si>
  <si>
    <t>4WMBX9B22</t>
  </si>
  <si>
    <t>PB/19*48.5*120.5 W.MAPLE W.MAPLE/ RC  RC/ WPF  WPF/ B  #2/ 0.3  0.3</t>
  </si>
  <si>
    <t>XWMRW202</t>
  </si>
  <si>
    <t>4WMBX9C11</t>
  </si>
  <si>
    <t>PB/19*49*97 W.MAPLE W.MAPLE/ RC  RC/ WPF  WPF/ C+  #1/ 0.3  0.3</t>
  </si>
  <si>
    <t>XWMRWC03</t>
  </si>
  <si>
    <t>4WMBX9A11</t>
  </si>
  <si>
    <t>PB/19*48.5*96.5 W.MAPLE W.MAPLE/ RC  RC/ WPF  WPF/ A  #1/ 0.3  0.3</t>
  </si>
  <si>
    <t>XWMRWA01</t>
  </si>
  <si>
    <t>4WMM36B11</t>
  </si>
  <si>
    <t>MDF/3.6*48.5*96.5 W.MAPLE W.MAPLE/ RC  RC/ WPF  WPF/ B  #1/ 0.3  0.3</t>
  </si>
  <si>
    <t>BMCN3003</t>
  </si>
  <si>
    <t>Glue 11</t>
  </si>
  <si>
    <t>4WMM36B12</t>
  </si>
  <si>
    <t>MDF/3.6*48.5*96.5 W.MAPLE W.MAPLE/ RC  RC/ WPF  WPF/ B NO FIG  #1/ 0.3  0.3</t>
  </si>
  <si>
    <t>XWMRWB11</t>
  </si>
  <si>
    <t>4WMM36B22</t>
  </si>
  <si>
    <t>MDF/3.6*48.5*96.5 W.MAPLE W.MAPLE/ RC  RC/ WPF  WPF/ B NO FIG  #2/ 0.3  0.3</t>
  </si>
  <si>
    <t>4WMM52B12</t>
  </si>
  <si>
    <t>MDF/5.2*48.5*96.5 W.MAPLE W.MAPLE/ RC  RC/ WPF  WPF/ B  #1/ 0.3  0.3</t>
  </si>
  <si>
    <t>4WMM52B13</t>
  </si>
  <si>
    <t>MDF/5.2*48.5*96.5 W.MAPLE W.MAPLE/ RC  RC/ WPF  WPF/ B NO FIG  #1/ 0.3  0.3</t>
  </si>
  <si>
    <t>4WMM52B15</t>
  </si>
  <si>
    <t>MDF/5.2*48*96 W.MAPLE W.MAPLE/ RC  RC/ WPF  WPF/ B  #1/ 0.3  0.3</t>
  </si>
  <si>
    <t>4WMM52B21</t>
  </si>
  <si>
    <t>MDF/5.2*48.5*96.5 W.MAPLE W.MAPLE/ PC  PC/ BM  BM/ B  #2/ 0.5  0.5</t>
  </si>
  <si>
    <t>XWMPBB02</t>
  </si>
  <si>
    <t>Glue 08</t>
  </si>
  <si>
    <t>XWMPM201</t>
  </si>
  <si>
    <t>4WMM52B23</t>
  </si>
  <si>
    <t>MDF/5.2*48.5*96.5 W.MAPLE W.MAPLE/ RC  RC/ WPF  WPF/ B  #2/ 0.3  0.3</t>
  </si>
  <si>
    <t>4WMM52B25</t>
  </si>
  <si>
    <t>MDF/5.2*48.5*96.5 W.MAPLE W.MAPLE/ RC  RC/ WPF  MPF/ B NO FIG  #2/ 0.3  0.3</t>
  </si>
  <si>
    <t>4WMM52B27</t>
  </si>
  <si>
    <t>MDF/5.2*48*96 W.MAPLE EV POPLAR/ RC  Z/ WPF  WPF/ B  #2/ 0.3  0.2</t>
  </si>
  <si>
    <t>4WMM52B31</t>
  </si>
  <si>
    <t>MDF/5.2*48.5*96.5 W.MAPLE W.MAPLE/ RC  RC/ WPF  WPF/ B  #3/ 0.3  0.3</t>
  </si>
  <si>
    <t>XWMRW301</t>
  </si>
  <si>
    <t>4WMM52B33</t>
  </si>
  <si>
    <t>MDF/5.2*48.5*96.5 W.MAPLE W.MAPLE/ RC  RC/ WPF  WPF/ B UV  #3/ 0.3  0.3</t>
  </si>
  <si>
    <t>4WMM52BB1</t>
  </si>
  <si>
    <t>MDF/5.2*48.5*96.5 W.MAPLE W.MAPLE/ RC  RC/ WPF  WPF/ B  B/ 0.3  0.3</t>
  </si>
  <si>
    <t>4WMM52BB3</t>
  </si>
  <si>
    <t>MDF/5.2*48.5*96.5 W.MAPLE W.MAPLE/ RC  RC/ WPF  WPF/ B NO FIG  B NO FIG/ 0.5  0.5</t>
  </si>
  <si>
    <t>4WMM52C22</t>
  </si>
  <si>
    <t>MDF/5.2*48.5*96.5 W.MAPLE W.MAPLE/ RC  RC/ WPF  MPF/ C  #2/ 0.3  0.3</t>
  </si>
  <si>
    <t>XWMRWC02</t>
  </si>
  <si>
    <t>4WMM52CC1</t>
  </si>
  <si>
    <t>MDF/5.2*48.5*96.5 W.MAPLE W.MAPLE/ RC  RC/ WPF  WPF/ C  C/ 0.3  0.3</t>
  </si>
  <si>
    <t>XWMRWC01</t>
  </si>
  <si>
    <t>4WMM52C24</t>
  </si>
  <si>
    <t>MDF/5.2*48.5*96.5 W.MAPLE W.MAPLE/ RC  RC/ WPF  MPF/ C UV  #2/ 0.3  0.3</t>
  </si>
  <si>
    <t>4WMM60BC2</t>
  </si>
  <si>
    <t>MDF/6*48.5*96.5 W.MAPLE W.MAPLE/ RC  RC/ WPF  MPF/ B  C/ 0.3  0.3</t>
  </si>
  <si>
    <t>4WMM95B21</t>
  </si>
  <si>
    <t>MDF/9.5*48.5*96.5 W.MAPLE W.MAPLE/ RC  RC/ WPF  MPF/ B  #2/ 0.5  0.5</t>
  </si>
  <si>
    <t>XWMRWB05</t>
  </si>
  <si>
    <t>4WMMX5B21</t>
  </si>
  <si>
    <t>MDF/15.7*48.5*96.5 W.MAPLE W.MAPLE/ RC  RC/ WPF  MPF/ B NO FIG  #2/ 0.3  0.3</t>
  </si>
  <si>
    <t>4WMMX9A11</t>
  </si>
  <si>
    <t>MDF/19*48.5*96.5 W.MAPLE W.MAPLE/ PC  PC/ BM  BM/ A  #1/ 0.5  0.5</t>
  </si>
  <si>
    <t>XWMPBA11</t>
  </si>
  <si>
    <t>XWMPB101</t>
  </si>
  <si>
    <t>4WMMX9A13</t>
  </si>
  <si>
    <t>MDF/19*48.5*96.5 W.MAPLE W.MAPLE/ RC  RC/ WPF  SM/ A  #1/ 0.5  0.5</t>
  </si>
  <si>
    <t>XWMRW104</t>
  </si>
  <si>
    <t>4WMMX9A14</t>
  </si>
  <si>
    <t>MDF/19*48.5*120.5 W.MAPLE W.MAPLE/ PC  PC/ BM  BM/ A  #1/ 0.5  0.5</t>
  </si>
  <si>
    <t>XWMPBA04</t>
  </si>
  <si>
    <t>XWMPM103</t>
  </si>
  <si>
    <t>4WMMX9B11</t>
  </si>
  <si>
    <t>MDF/19*48.5*120.5 W.MAPLE W.MAPLE/ RC  RC/ WPF  MPF/ B  #1/ 0.5  0.5</t>
  </si>
  <si>
    <t>XWMRWB14</t>
  </si>
  <si>
    <t>XWMRW107</t>
  </si>
  <si>
    <t>4WMP52B22</t>
  </si>
  <si>
    <t>PlatformEU/5.2*48.5*96.5 W.MAPLE W.MAPLE/ RC  RC/ WPF  WPF/ B  #2/ 0.3  0.3</t>
  </si>
  <si>
    <t>Glue 12</t>
  </si>
  <si>
    <t>4WMPX2C24</t>
  </si>
  <si>
    <t>PlatformJA/12*48.5*96.5 W.MAPLE W.MAPLE/ RC  RC/ WPF  MPF/ C  #2/ 0.3  0.3</t>
  </si>
  <si>
    <t>4WMPX2B1A</t>
  </si>
  <si>
    <t>PlatformTW/12*48.5*96.5 W.MAPLE W.MAPLE/ RC  RC/ WPF  MPF/ B DH  #1/ 0.3  0.3</t>
  </si>
  <si>
    <t>XWMRWB16</t>
  </si>
  <si>
    <t>4WMPX2C2A</t>
  </si>
  <si>
    <t>PlatformTW/12*48.5*96.5 W.MAPLE W.MAPLE/ RC  RC/ WPF  MPF/ C  #2/ 0.3  0.3</t>
  </si>
  <si>
    <t>4WMPX2B2A</t>
  </si>
  <si>
    <t>PlatformTW/12*48.5*96.5 W.MAPLE W.MAPLE/ RC  RC/ WPF  MPF/ B  #2/ 0.3  0.3</t>
  </si>
  <si>
    <t>4WMPX8C22</t>
  </si>
  <si>
    <t>PlatformDH/18*48.5*96.5 W.MAPLE W.MAPLE/ RC  RC/ WPF  WPF/ C UV  #2/ 0.3  0.3</t>
  </si>
  <si>
    <t>4WMPX8C23</t>
  </si>
  <si>
    <t>PlatformTW/18*48.5*96.5 W.MAPLE W.MAPLE/ RC  RC/ WPF  MPF/ C  #2/ 0.3  0.3</t>
  </si>
  <si>
    <t>4WMPX9C2A</t>
  </si>
  <si>
    <t>PlatformAX/19*48.5*96.5 W.MAPLE W.MAPLE/ RC  RC/ WPF  MPF/ C  #2/ 0.3  0.3</t>
  </si>
  <si>
    <t>4WMPX9CC1</t>
  </si>
  <si>
    <t>PlatformTW/19*48.5*96.5 W.MAPLE  W.MAPLE / RC   RC / WPF  WPF/ C-85 UV  C-85 UV/ 0.3  0.3</t>
  </si>
  <si>
    <t>XWMRWC13</t>
  </si>
  <si>
    <t>4WMPX9C2H</t>
  </si>
  <si>
    <t>PlatformTW/19*48.5*96.5 W.MAPLE  W.MAPLE / RC   RC / WPF  MPF/ C UV  #2 UV/ 0.3  0.3</t>
  </si>
  <si>
    <t>4WMPX9B2M</t>
  </si>
  <si>
    <t>PlatformTW/19*48.5*96.5 W.MAPLE  W.MAPLE / RC   RC / WPF  MPF/ B  #2/ 0.3  0.3</t>
  </si>
  <si>
    <t>4WOBX9A11</t>
  </si>
  <si>
    <t>PB/19*49*97 W.OAK W.OAK/ Rift  QC/ SM  MPF/ A  #1/ 0.5  0.5</t>
  </si>
  <si>
    <t>XWOFSA01</t>
  </si>
  <si>
    <t>XWOFM101</t>
  </si>
  <si>
    <t>4WOBX9A12</t>
  </si>
  <si>
    <t>PB/19*48.5*120.5 W.OAK W.OAK/ Rift  QC/ SM  MPF/ A  #1/ 0.5  0.5</t>
  </si>
  <si>
    <t>XWOFSA07</t>
  </si>
  <si>
    <t>XWOQM109</t>
  </si>
  <si>
    <t>4WOM30B41</t>
  </si>
  <si>
    <t>MDF/3*48.5*96.5 W.OAK W.OAK/ RIFT  -/ BM  -/ B  #4/ 0.2  0.3</t>
  </si>
  <si>
    <t>XWOFZB01</t>
  </si>
  <si>
    <t>XWOFZ201</t>
  </si>
  <si>
    <t>4WOM30B42</t>
  </si>
  <si>
    <t>MDF/3*48.5*96.5 W.OAK W.OAK/ PC  -/ BM  -/ B  #4/ 0.2  0.3</t>
  </si>
  <si>
    <t>XWOPZB01</t>
  </si>
  <si>
    <t>XWOPZ201</t>
  </si>
  <si>
    <t>4WOM52A11</t>
  </si>
  <si>
    <t>MDF/5.2*48.5*96.5 W.OAK W.OAK/ Rift  QC/ SM  MPF/ A  #1/ 0.5  0.5</t>
  </si>
  <si>
    <t>4WOM52A12</t>
  </si>
  <si>
    <t>MDF/5.2*48.5*96.5 W.OAK W.OAK/ Rift  QC/ SM  MPF/ AA  #1/ 0.5  0.5</t>
  </si>
  <si>
    <t>XWOFSA03</t>
  </si>
  <si>
    <t>4WOM52A13</t>
  </si>
  <si>
    <t>MDF/5.2*48.5*96.5 W.OAK W.OAK/ PC  PC/ BM  MPF/ A  #1/ 0.5  0.5</t>
  </si>
  <si>
    <t>XWOPBA01</t>
  </si>
  <si>
    <t>XWOPM101</t>
  </si>
  <si>
    <t>4WOM52A14</t>
  </si>
  <si>
    <t>MDF/5.2*48.5*96.5 W.OAK W.OAK/ Rift  QC/ SM  MPF/ A WHEAT  #1/ 0.5  0.5</t>
  </si>
  <si>
    <t>XWOFSA06</t>
  </si>
  <si>
    <t>XWOQM101</t>
  </si>
  <si>
    <t>4WOM52A15</t>
  </si>
  <si>
    <t>MDF/5.2*48.5*96.5 W.OAK W.OAK/ Rift  Rift/ SM  MPF/ A  #1/ 0.5  0.5</t>
  </si>
  <si>
    <t>4WOM52A16</t>
  </si>
  <si>
    <t>MDF/5.2*48.5*96.5 W.OAK W.OAK/ Rift  Rift/ SM  MPF/ A  #1/ 0.2  0.2</t>
  </si>
  <si>
    <t>XWOFZA01</t>
  </si>
  <si>
    <t>4WOM52A17</t>
  </si>
  <si>
    <t>MDF/5.2*48.5*96.5 W.OAK W.OAK/ PC  PC/ BM  MPF/ A  #1/ 0.2  0.2</t>
  </si>
  <si>
    <t>4WOM52A18</t>
  </si>
  <si>
    <t>MDF/5.2*48.5*96.5 W.OAK W.OAK/ Rift  Rift/ SM  MPF/ AA  #1/ 0.5  0.5</t>
  </si>
  <si>
    <t>4WOM52A19</t>
  </si>
  <si>
    <t>MDF/5.2*48.5*96.5 W.OAK W.OAK/ Rift  Rift/ SM  SM/ A  #1/ 0.2  0.2</t>
  </si>
  <si>
    <t>4WOM52A21</t>
  </si>
  <si>
    <t>MDF/5.2*48.5*96.5 W.OAK W.OAK/ Rift  QC/ BM  MPF/ A  #2/ 0.5  0.5</t>
  </si>
  <si>
    <t>XWOFBA01</t>
  </si>
  <si>
    <t>XWOQM201</t>
  </si>
  <si>
    <t>4WOM52A22</t>
  </si>
  <si>
    <t>MDF/5.2*48.5*96.5 W.OAK W.OAK/ Rift  QC/ SM  MPF/ A  #2/ 0.5  0.5</t>
  </si>
  <si>
    <t>4WOM52A24</t>
  </si>
  <si>
    <t>MDF/5.2*48.5*96.5 W.OAK W.OAK/ Rift  Rift/ SM  MPF/ A  #2/ 0.2  0.2</t>
  </si>
  <si>
    <t>4WOM52A25</t>
  </si>
  <si>
    <t>MDF/5.2*48.5*96.5 W.OAK EV POPLAR/ RIFT  Z/ PM  Z/ A  #1/ 0.5  0.2</t>
  </si>
  <si>
    <t>XWOFPA01</t>
  </si>
  <si>
    <t>4WOM52B21</t>
  </si>
  <si>
    <t>MDF/5.2*48.5*96.5 W.OAK W.OAK/ PC  PC/ BM  MPF/ B  #2/ 0.2  0.2</t>
  </si>
  <si>
    <t>4WOM52B23</t>
  </si>
  <si>
    <t>MDF/5.2*48.5*96.5 W.OAK W.OAK/ Rift  QC/ SM  MPF/ B  #2/ 0.5  0.5</t>
  </si>
  <si>
    <t>XWOFSB01</t>
  </si>
  <si>
    <t>4WOM52B24</t>
  </si>
  <si>
    <t>MDF/5.2*48.5*96.5 W.OAK W.OAK/ Rift  QC/ BM  MPF/ B  #2/ 0.5  0.5</t>
  </si>
  <si>
    <t>XWOFBB01</t>
  </si>
  <si>
    <t>4WOM52B25</t>
  </si>
  <si>
    <t>MDF/5.2*48.5*96.5 W.OAK W.OAK/ Rift  QC/ BM  MPF/ B  #2/ 0.2  0.2</t>
  </si>
  <si>
    <t>4WOM52B26</t>
  </si>
  <si>
    <t>MDF/5.2*48.5*96.5 W.OAK W.OAK/ Rift  Rift/ SM  MPF/ B  #2/ 0.2  0.2</t>
  </si>
  <si>
    <t>4WOM52BC1</t>
  </si>
  <si>
    <t>MDF/5.2*48.5*96.5 W.OAK W.OAK/ Rift  Rift/ BM  MPF/ B  C/ 0.2  0.2</t>
  </si>
  <si>
    <t>4WOM52BC2</t>
  </si>
  <si>
    <t>MDF/5.2*48.5*96.5 W.OAK W.OAK/ PC  PC/ BM  MPF/ B  C/ 0.2  0.2</t>
  </si>
  <si>
    <t>4WOM52A1B</t>
  </si>
  <si>
    <t>MDF/5.2*48.5*96.5 W.OAK W.OAK/ Rift  Rift/ SM  MPF/ A UV  #1/ 0.2  0.2</t>
  </si>
  <si>
    <t>4WOM52B12</t>
  </si>
  <si>
    <t>MDF/5.2*48.5*96.5 W.OAK W.OAK/ Rift  Rift/ SM  MPF/ B  #1/ 0.2  0.2</t>
  </si>
  <si>
    <t>4WOM52B11</t>
  </si>
  <si>
    <t>MDF/5.2*48.5*96.5 W.OAK W.OAK/ PC  PC/ BM  MPF/ B  #1/ 0.2  0.2</t>
  </si>
  <si>
    <t>4WOM60BC2</t>
  </si>
  <si>
    <t>MDF/6*48.5*96.5 W.OAK W.OAK/ PC  PC/ BM  MPF/ B  C/ 0.2  0.2</t>
  </si>
  <si>
    <t>4WOMX2A11</t>
  </si>
  <si>
    <t>MDF/12.7*48.5*96.5 W.OAK W.OAK/ Rift  Rift/ SM  MPF/ A  #1/ 0.5  0.5</t>
  </si>
  <si>
    <t>BMCNX201</t>
  </si>
  <si>
    <t>4WOMX2A12</t>
  </si>
  <si>
    <t>MDF/12.7*48.5*120.5 W.OAK W.OAK/ Rift  Rift/ SM  MPF/ A  #1/ 0.5  0.5</t>
  </si>
  <si>
    <t>BMCNX203</t>
  </si>
  <si>
    <t>XWOFM102</t>
  </si>
  <si>
    <t>4WOMX2A13</t>
  </si>
  <si>
    <t>MDF/12.7*48.5*96.5 W.OAK W.OAK/ PC  PC/ BM  MPF/ A  #1/ 0.5  0.5</t>
  </si>
  <si>
    <t>4WOMX5B11</t>
  </si>
  <si>
    <t>MDF/15.7*48.5*96.5 W.OAK W.OAK/ PC  PC/ PM  MPF/ B  #1/ 0.5  0.5</t>
  </si>
  <si>
    <t>XWOPPB01</t>
  </si>
  <si>
    <t>4WOMX5A11</t>
  </si>
  <si>
    <t>MDF/15.7*48.5*96.5 W.OAK W.OAK/ Rift  Rift/ SM  MPF/ A  #1/ 0.5  0.5</t>
  </si>
  <si>
    <t>4WOMX8A11</t>
  </si>
  <si>
    <t>MDF/18*48.5*96.5 W.OAK W.OAK/ Rift  Rift/ SM  SM/ A  #1/ 0.2  0.2</t>
  </si>
  <si>
    <t>4WOMX8B21</t>
  </si>
  <si>
    <t>MDF/18*48.5*96.5 W.OAK W.OAK/ Rift  Rift/ BM  BM/ B  #2/ 0.2  0.2</t>
  </si>
  <si>
    <t>4WOMX8B22</t>
  </si>
  <si>
    <t>MDF/18*48.5*96.5 W.OAK W.OAK/ PC  PC/ BM  BM/ B  #2/ 0.2  0.2</t>
  </si>
  <si>
    <t>4WOMX8B23</t>
  </si>
  <si>
    <t>4WOMX9A12</t>
  </si>
  <si>
    <t>MDF/19*48.5*96.5 W.OAK W.OAK/ PC  PC/ BM  MPF/ A  #1/ 0.5  0.5</t>
  </si>
  <si>
    <t>4WOMX9A14</t>
  </si>
  <si>
    <t>MDF/19*48.5*120.5 W.OAK W.OAK/ Rift  Rift/ SM  MPF/ A  #1/ 0.5  0.5</t>
  </si>
  <si>
    <t>4WOMX9A16</t>
  </si>
  <si>
    <t>MDF/19*48.5*96.5 W.OAK W.OAK/ Rift  Rift/ SM  MPF/ A  #1/ 0.5  0.5</t>
  </si>
  <si>
    <t>4WOMX9A17</t>
  </si>
  <si>
    <t>MDF/19*48.5*120.5 W.OAK W.OAK/ PC  PC/ BM  MPF/ A  #1/ 0.5  0.5</t>
  </si>
  <si>
    <t>XWOPBA10</t>
  </si>
  <si>
    <t>4WOMX9AC1</t>
  </si>
  <si>
    <t>MDF/19*48.5*120.5 W.OAK W.OAK/ PC  PC/ BM  BM/ A SQ&amp;N  C/ 0.5  0.5</t>
  </si>
  <si>
    <t>XWOPBA13</t>
  </si>
  <si>
    <t>XWOPBC02</t>
  </si>
  <si>
    <t>4WOMX9AC2</t>
  </si>
  <si>
    <t>MDF/19*48.5*120.5 W.OAK W.OAK/ Rift  Rift/ SM  SM/ A SQ&amp;N  C/ 0.5  0.5</t>
  </si>
  <si>
    <t>XWOFSA13</t>
  </si>
  <si>
    <t>XWOFSC02</t>
  </si>
  <si>
    <t>4WOMX9AC3</t>
  </si>
  <si>
    <t>MDF/19*48.5*96.5 W.OAK W.OAK/ PC  PC/ BM  BM/ A SQ&amp;N  C/ 0.5  0.5</t>
  </si>
  <si>
    <t>XWOPBA02</t>
  </si>
  <si>
    <t>XWOPBC01</t>
  </si>
  <si>
    <t>4WOMX9AC4</t>
  </si>
  <si>
    <t>MDF/19*48.5*96.5 W.OAK W.OAK/ Rift  Rift/ SM  SM/ A SQ&amp;N  C/ 0.5  0.5</t>
  </si>
  <si>
    <t>XWOFSA12</t>
  </si>
  <si>
    <t>XWOFSC01</t>
  </si>
  <si>
    <t>4WOMX9B12</t>
  </si>
  <si>
    <t>MDF/19*48.5*120.5 W.OAK W.OAK/ PC  PC/ BM  MPF/ B  #1/ 0.5  0.5</t>
  </si>
  <si>
    <t>XWOPBB03</t>
  </si>
  <si>
    <t>4WOMX9A1E</t>
  </si>
  <si>
    <t>MDF/19*48.5*120.5 W.OAK W.OAK/ Rift  Rift/ PM  MPF/ A ICON  #1/ 0.5  0.5</t>
  </si>
  <si>
    <t>XWOFPA03</t>
  </si>
  <si>
    <t>4WOP52A41</t>
  </si>
  <si>
    <t>PlatformFAL/5.2*48*96 W.OAK W.OAK/ RIFT  Z/ BM  Z/ A  #4/ 0.2  0.2</t>
  </si>
  <si>
    <t>4WOPX2A17</t>
  </si>
  <si>
    <t>PlatformTA/12.7*48.5*96.5 W.OAK W.OAK/ Rift  Rift/ SM  MPF/ A PREMIUM SQ&amp;N  #1/ 0.5  0.5</t>
  </si>
  <si>
    <t>BVCT1102</t>
  </si>
  <si>
    <t>XWOFSA31</t>
  </si>
  <si>
    <t>4WOXX2A17</t>
  </si>
  <si>
    <t>VCMX/12.7*48.5*96.5 W.OAK W.OAK/ Rift  Rift/ SM  MPF/ A SQ&amp;N  #1/ 0.2  0.2</t>
  </si>
  <si>
    <t>BXCZ1201</t>
  </si>
  <si>
    <t>4WOXX2A18</t>
  </si>
  <si>
    <t>VCMX/12.7*48.5*96.5 W.OAK W.OAK/ PC  PC/ BM  MPF/ A SQ&amp;N  #1/ 0.2  0.2</t>
  </si>
  <si>
    <t>4WOPX8B28</t>
  </si>
  <si>
    <t>PlatformTW/18*48.5*96.5 W.OAK W.OAK/ PC  PC/ BM  MPF/ B  #2/ 0.5  0.5</t>
  </si>
  <si>
    <t>XWOPBB01</t>
  </si>
  <si>
    <t>XWOPM201</t>
  </si>
  <si>
    <t>4WOPX9A1E</t>
  </si>
  <si>
    <t>PlatformAX/19*48.5*96.5 W.OAK W.OAK/ PC  PC/ BM  MPF/ A  #1/ 0.5  0.5</t>
  </si>
  <si>
    <t>4WOXX9A14</t>
  </si>
  <si>
    <t>VCMX/19*48.5*96.5 W.OAK W.OAK/ PC  PC/ BM  MPF/ A  #1/ 0.5  0.5</t>
  </si>
  <si>
    <t>4WOXX9A1E</t>
  </si>
  <si>
    <t>VCMX/19*48.5*120.5 W.OAK W.OAK/ PC  PC/ BM  MPF/ A  #1/ 0.5  0.5</t>
  </si>
  <si>
    <t>BXCZ1805</t>
  </si>
  <si>
    <t>4WOXX9A1H</t>
  </si>
  <si>
    <t>VCMX/19*48.5*96.5 W.OAK W.OAK/ RIFT  RIFT/ SM  MPF/ A SQ&amp;N  #1/ 0.5  0.5</t>
  </si>
  <si>
    <t>4WOXX9A1L</t>
  </si>
  <si>
    <t>VCMXTA/19*48.5*96.5 W.OAK W.OAK/ PC  PC/ BM  MPF/ A  #1/ 0.5  0.5</t>
  </si>
  <si>
    <t>BXCZ1809</t>
  </si>
  <si>
    <t>4WOXX9A1M</t>
  </si>
  <si>
    <t>VCMXTA/19*48.5*96.5 W.OAK W.OAK/ Rift  Rift/ SM  MPF/ A  #1/ 0.5  0.5</t>
  </si>
  <si>
    <t>4WOBX9A13</t>
  </si>
  <si>
    <t>PB/19*49*97 W.OAK W.OAK/ Rift  Rift/ SM  MPF/ A SQ&amp;N  #1/ 0.5  0.5</t>
  </si>
  <si>
    <t>4WOBX9A14</t>
  </si>
  <si>
    <t>PB/19*48.5*120.5 W.OAK W.OAK/ Rift  Rift/ SM  MPF/ A SQ&amp;N  #1/ 0.5  0.5</t>
  </si>
  <si>
    <t>4WOBX9A15</t>
  </si>
  <si>
    <t>PB/19*49*97 W.OAK W.OAK/ Rift  Rift/ BM  MPF/ A SQ&amp;N  #1/ 0.5  0.5</t>
  </si>
  <si>
    <t>4OKP50AB1</t>
  </si>
  <si>
    <t>Platform TW/5*1230*2450 OKOUME OKOUME/ RC  RC/ WPF  WPF/ A  B/ 0.3  0.3</t>
  </si>
  <si>
    <t>4OKPX8AB1</t>
  </si>
  <si>
    <t>Platform TW/18*1230*2450 OKOUME OKOUME/ RC  RC/ WPF  WPF/ A  B/ 0.3  0.3</t>
  </si>
  <si>
    <t>4ROPX8AA1</t>
  </si>
  <si>
    <t>Platform TW/18*1230*2450 R.OAK R.OAK/ Rift  Rift/ PM  PM/ A  A/ 0.5  0.5</t>
  </si>
  <si>
    <t>XROFPA01</t>
  </si>
  <si>
    <t>4ROPX8B26</t>
  </si>
  <si>
    <t>Platform TW/18*48.5*96.5 R.OAK R.OAK/ PC  PC/ BM  MPF/ B  #2/ 0.5  0.5</t>
  </si>
  <si>
    <t>3CHP36KA1</t>
  </si>
  <si>
    <t>MDF 2.7*36.5*84.5 CHERRY A PC BM Thick</t>
  </si>
  <si>
    <t>BMCN2508</t>
  </si>
  <si>
    <t>XCHPBA04</t>
  </si>
  <si>
    <t>3CHP36KA2</t>
  </si>
  <si>
    <t>MDF 2.7*36.5*96.5 CHERRY A PC BM Thick</t>
  </si>
  <si>
    <t>BMCN2510</t>
  </si>
  <si>
    <t>XCHPBA05</t>
  </si>
  <si>
    <t>3CHP36KA3</t>
  </si>
  <si>
    <t>MDF 2.7*36.5*108.5 CHERRY A PC BM Thick</t>
  </si>
  <si>
    <t>BMCN2513</t>
  </si>
  <si>
    <t>XCHPBA51</t>
  </si>
  <si>
    <t>3CHP48KA1</t>
  </si>
  <si>
    <t>MDF 2.7*48.5*96.5 CHERRY A PC BMPairMat.CenterBalanced Thick</t>
  </si>
  <si>
    <t>BMCN2511</t>
  </si>
  <si>
    <t>XCHPBA07</t>
  </si>
  <si>
    <t>3CHP48KA2</t>
  </si>
  <si>
    <t>MDF 2.7*48.5*96.5 CHERRY A PC BM Thick</t>
  </si>
  <si>
    <t>XCHPBA03</t>
  </si>
  <si>
    <t>3ENR24NF1</t>
  </si>
  <si>
    <t>MDF 2.7*24.5*80.5 EngineeredHardwood FD RC WPF Thin</t>
  </si>
  <si>
    <t>BMCN2501</t>
  </si>
  <si>
    <t>XENRWF81</t>
  </si>
  <si>
    <t>3ENR28NF1</t>
  </si>
  <si>
    <t>MDF 2.7*28.5*80.5 EngineeredHardwood FD RC WPF Thin</t>
  </si>
  <si>
    <t>BMCN2502</t>
  </si>
  <si>
    <t>XENRWF82</t>
  </si>
  <si>
    <t>3ENR30NF1</t>
  </si>
  <si>
    <t>MDF 2.7*30.5*80.5 EngineeredHardwood FD RC WPF Thin</t>
  </si>
  <si>
    <t>BMCN2503</t>
  </si>
  <si>
    <t>XENRWF83</t>
  </si>
  <si>
    <t>3ENR32NF1</t>
  </si>
  <si>
    <t>MDF 2.7*32.5*80.5 EngineeredHardwood FD RC WPF Thin</t>
  </si>
  <si>
    <t>BMCN2504</t>
  </si>
  <si>
    <t>XENRWF84</t>
  </si>
  <si>
    <t>3ENR36NF1</t>
  </si>
  <si>
    <t>MDF 2.7*36.5*80.5 EngineeredHardwood FD RC WPF Thin</t>
  </si>
  <si>
    <t>BMCN2509</t>
  </si>
  <si>
    <t>XENRWF85</t>
  </si>
  <si>
    <t>3ENR36NF2</t>
  </si>
  <si>
    <t>MDF 2.7*36.5*84.5 EngineeredHardwood FD RC WPF Thin</t>
  </si>
  <si>
    <t>XENRWF06</t>
  </si>
  <si>
    <t>3ENR36NF3</t>
  </si>
  <si>
    <t>MDF 2.7*36.5*96.5 EngineeredHardwood FD RC WPF Thin</t>
  </si>
  <si>
    <t>XENRWF86</t>
  </si>
  <si>
    <t>3ENR48NF1</t>
  </si>
  <si>
    <t>MDF 2.7*48.5*96.5 EngineeredHardwood FD RC WPF Thin</t>
  </si>
  <si>
    <t>XENRWF87</t>
  </si>
  <si>
    <t>3NBR36KA4</t>
  </si>
  <si>
    <t>MDF 2.7*36.5*80.5 N.BIRCH A RC BM Thick</t>
  </si>
  <si>
    <t>XNBRBA03</t>
  </si>
  <si>
    <t>3NBR36KA2</t>
  </si>
  <si>
    <t>MDF 2.7*36.5*84.5 N.BIRCH A RC BM Thick</t>
  </si>
  <si>
    <t>XNBRBA02</t>
  </si>
  <si>
    <t>3NBR36KA3</t>
  </si>
  <si>
    <t>MDF 2.7*36.5*96.5 N.BIRCH A RC BM Thick</t>
  </si>
  <si>
    <t>XNBRBA04</t>
  </si>
  <si>
    <t>3NBR36KA1</t>
  </si>
  <si>
    <t>MDF 2.7*36.5*108.5 N.BIRCH A RC BM Thick</t>
  </si>
  <si>
    <t>XNBRBA51</t>
  </si>
  <si>
    <t>3NBR48KA5</t>
  </si>
  <si>
    <t>MDF 2.7*48.5*84.5 N.BIRCH A RC BM Thick</t>
  </si>
  <si>
    <t>BMCN2514</t>
  </si>
  <si>
    <t>XNBRBA05</t>
  </si>
  <si>
    <t>3NBR48KA1</t>
  </si>
  <si>
    <t>MDF 2.7*48.5*96.5 N.BIRCH A RC BM Thick</t>
  </si>
  <si>
    <t>XNBRBA07</t>
  </si>
  <si>
    <t>3NBR48KA6</t>
  </si>
  <si>
    <t>MDF 2.7*48.5*108.5 N.BIRCH A RC BM Thick</t>
  </si>
  <si>
    <t>BMCN2512</t>
  </si>
  <si>
    <t>XNBRBA01</t>
  </si>
  <si>
    <t>3NBR30NA1</t>
  </si>
  <si>
    <t>MDF 2.7*30.5*80.5 N.BIRCH A RC WPF Thin</t>
  </si>
  <si>
    <t>XNBRWF09</t>
  </si>
  <si>
    <t>3NBR32NA1</t>
  </si>
  <si>
    <t>MDF 2.7*32.5*80.5 N.BIRCH A RC WPF Thin</t>
  </si>
  <si>
    <t>XNBRWF12</t>
  </si>
  <si>
    <t>3NBR36NA1</t>
  </si>
  <si>
    <t>MDF 2.7*36.5*80.5 N.BIRCH A RC WPF Thin</t>
  </si>
  <si>
    <t>XNBRWF15</t>
  </si>
  <si>
    <t>3NBR36NA2</t>
  </si>
  <si>
    <t>MDF 2.7*36.5*84.5 N.BIRCH A RC WPF Thin</t>
  </si>
  <si>
    <t>XNBRWF16</t>
  </si>
  <si>
    <t>3NBR36NA3</t>
  </si>
  <si>
    <t>MDF 2.7*36.5*96.5 N.BIRCH A RC WPF Thin</t>
  </si>
  <si>
    <t>XNBRWF17</t>
  </si>
  <si>
    <t>3NBR48NA1</t>
  </si>
  <si>
    <t>MDF 2.7*48.5*96.5 N.BIRCH A RC WPF Thin</t>
  </si>
  <si>
    <t>XNBRWF23</t>
  </si>
  <si>
    <t>3NBR24NF1</t>
  </si>
  <si>
    <t>MDF 2.7*24.5*80.5 N.BIRCH FD RC WPF Thin</t>
  </si>
  <si>
    <t>XNBRWF03</t>
  </si>
  <si>
    <t>3NBR24NF2</t>
  </si>
  <si>
    <t>MDF 2.7*24.5*84.5 N.BIRCH FD RC WPF Thin</t>
  </si>
  <si>
    <t>BMCN2505</t>
  </si>
  <si>
    <t>XNBRWF04</t>
  </si>
  <si>
    <t>3NBR28NF1</t>
  </si>
  <si>
    <t>MDF 2.7*28.5*80.5 N.BIRCH FD RC WPF Thin</t>
  </si>
  <si>
    <t>XNBRWF07</t>
  </si>
  <si>
    <t>3NBR30NF1</t>
  </si>
  <si>
    <t>MDF 2.7*30.5*80.5 N.BIRCH FD RC WPF Thin</t>
  </si>
  <si>
    <t>3NBR32NF1</t>
  </si>
  <si>
    <t>MDF 2.7*32.5*80.5 N.BIRCH FD RC WPF Thin</t>
  </si>
  <si>
    <t>3NBR32NF3</t>
  </si>
  <si>
    <t>MDF 2.7*32.5*80.5 N.BIRCH FD RC BM Thin</t>
  </si>
  <si>
    <t>3NBR32NF2</t>
  </si>
  <si>
    <t>MDF 2.7*32.5*84.5 N.BIRCH FD RC WPF Thin</t>
  </si>
  <si>
    <t>XNBRWF13</t>
  </si>
  <si>
    <t>3NBR36NF1</t>
  </si>
  <si>
    <t>MDF 2.7*36.5*80.5 N.BIRCH FD RC WPF Thin</t>
  </si>
  <si>
    <t>3NBR36NF2</t>
  </si>
  <si>
    <t>MDF 2.7*36.5*84.5 N.BIRCH FD RC WPF Thin</t>
  </si>
  <si>
    <t>3NBR36NF3</t>
  </si>
  <si>
    <t>MDF 2.7*36.5*96.5 N.BIRCH FD RC WPF Thin</t>
  </si>
  <si>
    <t>XNBRWF21</t>
  </si>
  <si>
    <t>3NBR48NF1</t>
  </si>
  <si>
    <t>MDF 2.7*48.5*84.5 N.BIRCH FD RC WPF Thin</t>
  </si>
  <si>
    <t>XNBRWF22</t>
  </si>
  <si>
    <t>3NBR48NF2</t>
  </si>
  <si>
    <t>MDF 2.7*48.5*96.5 N.BIRCH FD RC WPF Thin</t>
  </si>
  <si>
    <t>3OKR32NF2</t>
  </si>
  <si>
    <t>MDF 2.7*32.4*80.5 OKOUME FD RC WPF Thin</t>
  </si>
  <si>
    <t>BE2N2501</t>
  </si>
  <si>
    <t>XOKRWF01</t>
  </si>
  <si>
    <t>3ROP24KA1</t>
  </si>
  <si>
    <t>MDF 2.7*24.5*80.5 R.OAK A PC BM Thick</t>
  </si>
  <si>
    <t>XROPBA15</t>
  </si>
  <si>
    <t>3ROP28KA1</t>
  </si>
  <si>
    <t>MDF 2.7*28.5*80.5 R.OAK A PC BM Thick</t>
  </si>
  <si>
    <t>XROPBA17</t>
  </si>
  <si>
    <t>3ROP30KA1</t>
  </si>
  <si>
    <t>MDF 2.7*30.5*80.5 R.OAK A PC BM Thick</t>
  </si>
  <si>
    <t>XROPBA18</t>
  </si>
  <si>
    <t>3ROP32KA1</t>
  </si>
  <si>
    <t>MDF 2.7*32.5*80.5 R.OAK A PC BM Thick</t>
  </si>
  <si>
    <t>XROPBA19</t>
  </si>
  <si>
    <t>3ROP36KA1</t>
  </si>
  <si>
    <t>MDF 2.7*36.5*80.5 R.OAK A PC BM Thick</t>
  </si>
  <si>
    <t>XROPBA05</t>
  </si>
  <si>
    <t>3ROP36KA2</t>
  </si>
  <si>
    <t>MDF 2.7*36.5*84.5 R.OAK A PC BM Thick</t>
  </si>
  <si>
    <t>XROPBA03</t>
  </si>
  <si>
    <t>3ROP36KA3</t>
  </si>
  <si>
    <t>MDF 2.7*36.5*96.5 R.OAK A PC BM Thick</t>
  </si>
  <si>
    <t>XROPBA04</t>
  </si>
  <si>
    <t>3ROP36KA4</t>
  </si>
  <si>
    <t>MDF 2.7*36.5*108.5 R.OAK A PC BM Thick</t>
  </si>
  <si>
    <t>XROPBA51</t>
  </si>
  <si>
    <t>3ROP48KA1</t>
  </si>
  <si>
    <t>MDF 2.7*48.5*84.5 R.OAK A PC BM Thick</t>
  </si>
  <si>
    <t>XROPBA10</t>
  </si>
  <si>
    <t>3ROP48KA2</t>
  </si>
  <si>
    <t>MDF 2.7*48.5*96.5 R.OAK A PC BM Thick</t>
  </si>
  <si>
    <t>XROPBA11</t>
  </si>
  <si>
    <t>3ROP48KA4</t>
  </si>
  <si>
    <t>MDF 2.7*48.5*108.5 R.OAK A PC BM Thick</t>
  </si>
  <si>
    <t>XROPBA12</t>
  </si>
  <si>
    <t>3ROF36KA1</t>
  </si>
  <si>
    <t>MDF 2.7*36.5*84.5 R.OAK A Rift BM Thick</t>
  </si>
  <si>
    <t>XROFBA01</t>
  </si>
  <si>
    <t>3ROF36KA2</t>
  </si>
  <si>
    <t>MDF 2.7*36.5*96.5 R.OAK A Rift BM Thick</t>
  </si>
  <si>
    <t>XROFBA02</t>
  </si>
  <si>
    <t>3ROF36KA3</t>
  </si>
  <si>
    <t>MDF 2.7*36.5*108.5 R.OAK A Rift BM Thick</t>
  </si>
  <si>
    <t>XROPBA06</t>
  </si>
  <si>
    <t>3ROF48KA1</t>
  </si>
  <si>
    <t>MDF 2.7*48.5*96.5 R.OAK A Rift BM Thick</t>
  </si>
  <si>
    <t>XROFBA03</t>
  </si>
  <si>
    <t>3ROP48N21</t>
  </si>
  <si>
    <t>MDF 2.7*48.5*96.5 R.OAK #2 PC BM Thin</t>
  </si>
  <si>
    <t>XROPZ203</t>
  </si>
  <si>
    <t>XROPZF02</t>
  </si>
  <si>
    <t>3ROP24NA1</t>
  </si>
  <si>
    <t>MDF 2.7*24.5*80.5 R.OAK A PC BM Thin</t>
  </si>
  <si>
    <t>3ROP28NA1</t>
  </si>
  <si>
    <t>MDF 2.7*28.5*80.5 R.OAK A PC BM Thin</t>
  </si>
  <si>
    <t>3ROP30NA1</t>
  </si>
  <si>
    <t>MDF 2.7*30.5*80.5 R.OAK A PC BM Thin</t>
  </si>
  <si>
    <t>3ROP32NA1</t>
  </si>
  <si>
    <t>MDF 2.7*32.5*80.5 R.OAK A PC BM Thin</t>
  </si>
  <si>
    <t>3ROP36NA1</t>
  </si>
  <si>
    <t>MDF 2.7*36.5*80.5 R.OAK A PC BM Thin</t>
  </si>
  <si>
    <t>3ROP36NA2</t>
  </si>
  <si>
    <t>MDF 2.7*36.5*84.5 R.OAK A PC BM Thin</t>
  </si>
  <si>
    <t>3ROP36NA3</t>
  </si>
  <si>
    <t>MDF 2.7*36.5*96.5 R.OAK A PC BM Thin</t>
  </si>
  <si>
    <t>XROPZF03</t>
  </si>
  <si>
    <t>3ROP48NA3</t>
  </si>
  <si>
    <t>MDF 2.7*48.5*96.5 R.OAK A PC BM Thin</t>
  </si>
  <si>
    <t>3ROP24NF1</t>
  </si>
  <si>
    <t>MDF 2.7*24.5*80.5 R.OAK FD PC BM Thin</t>
  </si>
  <si>
    <t>3ROP28NF1</t>
  </si>
  <si>
    <t>MDF 2.7*28.5*80.5 R.OAK FD PC BM Thin</t>
  </si>
  <si>
    <t>3ROP30NF1</t>
  </si>
  <si>
    <t>MDF 2.7*30.5*80.5 R.OAK FD PC BM Thin</t>
  </si>
  <si>
    <t>3ROP32NF1</t>
  </si>
  <si>
    <t>MDF 2.7*32.5*80.5 R.OAK FD PC BM Thin</t>
  </si>
  <si>
    <t>3ROP36NF1</t>
  </si>
  <si>
    <t>MDF 2.7*36.5*80.5 R.OAK FD PC BM Thin</t>
  </si>
  <si>
    <t>3ROP36NF2</t>
  </si>
  <si>
    <t>MDF 2.7*36.5*84.5 R.OAK FD PC BM Thin</t>
  </si>
  <si>
    <t>3ROP36NF3</t>
  </si>
  <si>
    <t>MDF 2.7*36.5*96.5 R.OAK FD PC BM Thin</t>
  </si>
  <si>
    <t>3ROP48NF2</t>
  </si>
  <si>
    <t>MDF 2.7*48.5*84.5 R.OAK FD PC BM Thin</t>
  </si>
  <si>
    <t>3ROP48NF3</t>
  </si>
  <si>
    <t>MDF 2.7*48.5*96.5 R.OAK FD PC BM Thin</t>
  </si>
  <si>
    <t>XSARWF01</t>
  </si>
  <si>
    <t>Glue 04</t>
  </si>
  <si>
    <t>3SAR24NF1</t>
  </si>
  <si>
    <t>MDF 2.7*24.5*80.5 SAPELE FD RC WPF Thin</t>
  </si>
  <si>
    <t>XSARWF31</t>
  </si>
  <si>
    <t>3SAR24NS1</t>
  </si>
  <si>
    <t>BMCF2501</t>
  </si>
  <si>
    <t>3SAR28NF1</t>
  </si>
  <si>
    <t>MDF 2.7*28.5*80.5 SAPELE FD RC WPF Thin</t>
  </si>
  <si>
    <t>XSARWF32</t>
  </si>
  <si>
    <t>3SAR28NS1</t>
  </si>
  <si>
    <t>BMCF2502</t>
  </si>
  <si>
    <t>3SAR30NF1</t>
  </si>
  <si>
    <t>MDF 2.7*30.5*80.5 SAPELE FD RC WPF Thin</t>
  </si>
  <si>
    <t>XSARWF33</t>
  </si>
  <si>
    <t>3SAR30NS1</t>
  </si>
  <si>
    <t>BMCF2503</t>
  </si>
  <si>
    <t>3SAR32NF1</t>
  </si>
  <si>
    <t>MDF 2.7*32.5*80.5 SAPELE FD RC WPF Thin</t>
  </si>
  <si>
    <t>XSARWF34</t>
  </si>
  <si>
    <t>3SAR32NS1</t>
  </si>
  <si>
    <t>BMCF2504</t>
  </si>
  <si>
    <t>3SAR36NF1</t>
  </si>
  <si>
    <t>MDF 2.7*36.5*80.5 SAPELE FD RC WPF Thin</t>
  </si>
  <si>
    <t>XSARWF39</t>
  </si>
  <si>
    <t>3SAR36NS1</t>
  </si>
  <si>
    <t>BMCF2505</t>
  </si>
  <si>
    <t>3SAR36NS2</t>
  </si>
  <si>
    <t>MDF 2.7*36.5*84.5 SAPELE FD RC WPF Thin</t>
  </si>
  <si>
    <t>BMCF2508</t>
  </si>
  <si>
    <t>XSARWF36</t>
  </si>
  <si>
    <t>3SAR36NF3</t>
  </si>
  <si>
    <t>MDF 2.7*36.5*96.5 SAPELE FD RC WPF Thin</t>
  </si>
  <si>
    <t>XSARWF37</t>
  </si>
  <si>
    <t>3SAR36NS3</t>
  </si>
  <si>
    <t>BMCF2506</t>
  </si>
  <si>
    <t>3SAR48NS2</t>
  </si>
  <si>
    <t>MDF 2.7*48.5*96.5 SAPELE FD RC WPF Thin</t>
  </si>
  <si>
    <t>BMCF2507</t>
  </si>
  <si>
    <t>XSARWF38</t>
  </si>
  <si>
    <t>3UBR36NA2</t>
  </si>
  <si>
    <t>MDF 2.7*36.5*84.5 UL.BIRCH A RC BM Thin</t>
  </si>
  <si>
    <t>XUBRWA03</t>
  </si>
  <si>
    <t>3UBR36NA3</t>
  </si>
  <si>
    <t>MDF 2.7*36.5*96.5 UL.BIRCH A RC BM Thin</t>
  </si>
  <si>
    <t>XUBRWA01</t>
  </si>
  <si>
    <t>3UBR36NA4</t>
  </si>
  <si>
    <t>MDF 2.7*36.5*108.5 UL.BIRCH A RC BM Thin</t>
  </si>
  <si>
    <t>XUBRWA04</t>
  </si>
  <si>
    <t>3UBR48NA2</t>
  </si>
  <si>
    <t>MDF 2.7*48.5*96.5 UL.BIRCH A RC BM Thin</t>
  </si>
  <si>
    <t>XUBRWA02</t>
  </si>
  <si>
    <t>3WBP36KA1</t>
  </si>
  <si>
    <t>MDF 2.7*36.5*80.5 W.BIRCH A PC BM Thick</t>
  </si>
  <si>
    <t>XWBPBA07</t>
  </si>
  <si>
    <t>3WBP36KA2</t>
  </si>
  <si>
    <t>MDF 2.7*36.5*84.5 W.BIRCH A PC BM Thick</t>
  </si>
  <si>
    <t>XWBPBA01</t>
  </si>
  <si>
    <t>3WBP36KA3</t>
  </si>
  <si>
    <t>MDF 2.7*36.5*96.5 W.BIRCH A PC BM Thick</t>
  </si>
  <si>
    <t>XWBPBA02</t>
  </si>
  <si>
    <t>3WBP36KA7</t>
  </si>
  <si>
    <t>MDF 2.7*36.5*108.5 W.BIRCH A PC BM Thick</t>
  </si>
  <si>
    <t>XWBPBA08</t>
  </si>
  <si>
    <t>3WBP48KA1</t>
  </si>
  <si>
    <t>MDF 2.7*48.5*96.5 W.BIRCH A PC BM Thick</t>
  </si>
  <si>
    <t>XWBPBA03</t>
  </si>
  <si>
    <t>3WBR36KA1</t>
  </si>
  <si>
    <t>MDF 2.7*36.5*80.5 W.BIRCH A RC BM Thick</t>
  </si>
  <si>
    <t>XWBRBA01</t>
  </si>
  <si>
    <t>3WBR36KA2</t>
  </si>
  <si>
    <t>MDF 2.7*36.5*84.5 W.BIRCH A RC BM Thick</t>
  </si>
  <si>
    <t>XWBRBA07</t>
  </si>
  <si>
    <t>3WBR36KA3</t>
  </si>
  <si>
    <t>MDF 2.7*36.5*96.5 W.BIRCH A RC BM Thick</t>
  </si>
  <si>
    <t>XWBRBA08</t>
  </si>
  <si>
    <t>3WBR36KA4</t>
  </si>
  <si>
    <t>MDF 2.7*36.5*108.5 W.BIRCH A RC BM Thick</t>
  </si>
  <si>
    <t>XWBRBA02</t>
  </si>
  <si>
    <t>3WBR48KA1</t>
  </si>
  <si>
    <t>MDF 2.7*48.5*84.5 W.BIRCH A RC BM Thick</t>
  </si>
  <si>
    <t>XWBRBA09</t>
  </si>
  <si>
    <t>3WBR48KA2</t>
  </si>
  <si>
    <t>MDF 2.7*48.5*96.5 W.BIRCH A RC BM Thick</t>
  </si>
  <si>
    <t>XWBRBA03</t>
  </si>
  <si>
    <t>3WBR48KA3</t>
  </si>
  <si>
    <t>MDF 2.7*48.5*108.5 W.BIRCH A RC BM Thick</t>
  </si>
  <si>
    <t>XWBRBA04</t>
  </si>
  <si>
    <t>3WBZ36KP1</t>
  </si>
  <si>
    <t>MDF 2.7*36.5*84.5 W.BIRCH Painting Z Z Thick</t>
  </si>
  <si>
    <t>XWBPBP01</t>
  </si>
  <si>
    <t>3WMP36KA1</t>
  </si>
  <si>
    <t>MDF 2.7*36.5*80.5 W.MAPLE A PC BM Thick</t>
  </si>
  <si>
    <t>XWMPBA07</t>
  </si>
  <si>
    <t>3WMP36KA2</t>
  </si>
  <si>
    <t>MDF 2.7*36.5*84.5 W.MAPLE A PC BM Thick</t>
  </si>
  <si>
    <t>XWMPBA01</t>
  </si>
  <si>
    <t>3WMP36KA5</t>
  </si>
  <si>
    <t>MDF 2.7*36.5*84.5 W.MAPLE A PC BMPairMat. Thick</t>
  </si>
  <si>
    <t>XWMPBA13</t>
  </si>
  <si>
    <t>3WMP36KA3</t>
  </si>
  <si>
    <t>MDF 2.7*36.5*96.5 W.MAPLE A PC BM Thick</t>
  </si>
  <si>
    <t>XWMPBA03</t>
  </si>
  <si>
    <t>3WMP36KA7</t>
  </si>
  <si>
    <t>MDF 2.7*36.5*96.5 W.MAPLE A PC BMCenterBalanced Thick</t>
  </si>
  <si>
    <t>XWMPBA10</t>
  </si>
  <si>
    <t>3WMP36KA4</t>
  </si>
  <si>
    <t>MDF 2.7*36.5*108.5 W.MAPLE A PC BM Thick</t>
  </si>
  <si>
    <t>XWMPBA06</t>
  </si>
  <si>
    <t>3WMP48KA1</t>
  </si>
  <si>
    <t>MDF 2.7*48.5*84.5 W.MAPLE A PC BM Thick</t>
  </si>
  <si>
    <t>XWMPBA12</t>
  </si>
  <si>
    <t>3WMP48KA2</t>
  </si>
  <si>
    <t>MDF 2.7*48.5*96.5 W.MAPLE A PC BM Thick</t>
  </si>
  <si>
    <t>XWMPBA02</t>
  </si>
  <si>
    <t>3WMP48KA3</t>
  </si>
  <si>
    <t>MDF 2.7*48.5*108.5 W.MAPLE A PC BM Thick</t>
  </si>
  <si>
    <t>XWMPBA05</t>
  </si>
  <si>
    <t>3WMQ36KA1</t>
  </si>
  <si>
    <t>MDF 2.7*36.5*96.5 W.MAPLE A QC BM Thick</t>
  </si>
  <si>
    <t>XWMQBA02</t>
  </si>
  <si>
    <t>3WMQ36KA2</t>
  </si>
  <si>
    <t>MDF 2.7*36.5*108.5 W.MAPLE A QC BM Thick</t>
  </si>
  <si>
    <t>XWMQBA01</t>
  </si>
  <si>
    <t>3WOP36KA1</t>
  </si>
  <si>
    <t>MDF 2.7*36.5*84.5 W.OAK A PC BM Thick</t>
  </si>
  <si>
    <t>XWOPBA04</t>
  </si>
  <si>
    <t>3WOP36KA2</t>
  </si>
  <si>
    <t>MDF 2.7*36.5*96.5 W.OAK A PC BM Thick</t>
  </si>
  <si>
    <t>XWOPBA03</t>
  </si>
  <si>
    <t>3WOP36KA3</t>
  </si>
  <si>
    <t>MDF 2.7*36.5*108.5 W.OAK A PC BM Thick</t>
  </si>
  <si>
    <t>XWOPBA06</t>
  </si>
  <si>
    <t>3WOP48KA1</t>
  </si>
  <si>
    <t>MDF 2.7*48.5*96.5 W.OAK A PC BM Thick</t>
  </si>
  <si>
    <t>XWOPBA05</t>
  </si>
  <si>
    <t>3WOF36KA1</t>
  </si>
  <si>
    <t>MDF 2.7*36.5*84.5 W.OAK A Rift BM Thick</t>
  </si>
  <si>
    <t>XWOFBA04</t>
  </si>
  <si>
    <t>3WOF36KA2</t>
  </si>
  <si>
    <t>MDF 2.7*36.5*96.5 W.OAK A Rift BM Thick</t>
  </si>
  <si>
    <t>XWOFBA03</t>
  </si>
  <si>
    <t>3WOF36KA3</t>
  </si>
  <si>
    <t>MDF 2.7*36.5*96.5 W.OAK A Rift SM Thick</t>
  </si>
  <si>
    <t>XWOFSA04</t>
  </si>
  <si>
    <t>3WOF36KA4</t>
  </si>
  <si>
    <t>MDF 2.7*36.5*108.5 W.OAK A Rift BM Thick</t>
  </si>
  <si>
    <t>XWOFBA51</t>
  </si>
  <si>
    <t>3WOF48KA1</t>
  </si>
  <si>
    <t>MDF 2.7*48.5*96.5 W.OAK A Rift SM Thick</t>
  </si>
  <si>
    <t>XWOFSA05</t>
  </si>
  <si>
    <t>3WOF48KA2</t>
  </si>
  <si>
    <t>MDF 2.7*48.5*96.5 W.OAK A Rift BM Thick</t>
  </si>
  <si>
    <t>XWOFBA05</t>
  </si>
  <si>
    <t>3WOF48KA3</t>
  </si>
  <si>
    <t>MDF 2.7*48.5*96.5 W.OAK A Rift BMPairMat. Thick</t>
  </si>
  <si>
    <t>XWOFBA08</t>
  </si>
  <si>
    <t>3WAP36KA1</t>
  </si>
  <si>
    <t>MDF 2.7*36.5*84.5 WALNUT A PC BM Thick</t>
  </si>
  <si>
    <t>XWAPBA03</t>
  </si>
  <si>
    <t>3WAP36KA2</t>
  </si>
  <si>
    <t>MDF 2.7*36.5*96.5 WALNUT A PC BM Thick</t>
  </si>
  <si>
    <t>XWAPBA04</t>
  </si>
  <si>
    <t>3WAP36KA3</t>
  </si>
  <si>
    <t>MDF 2.7*36.5*108.5 WALNUT A PC BM Thick</t>
  </si>
  <si>
    <t>XWAPBA13</t>
  </si>
  <si>
    <t>3WAP36KA5</t>
  </si>
  <si>
    <t>MDF 2.7*36.5*108.5 WALNUT A PC BMPairMat. Thick</t>
  </si>
  <si>
    <t>XWAPBA14</t>
  </si>
  <si>
    <t>3WAP36KA6</t>
  </si>
  <si>
    <t>3WAP48KA1</t>
  </si>
  <si>
    <t>MDF 2.7*48.5*96.5 WALNUT A PC BM Thick</t>
  </si>
  <si>
    <t>XWAPBA05</t>
  </si>
  <si>
    <t>3WAP48KA2</t>
  </si>
  <si>
    <t>MDF 2.7*48.5*108.5 WALNUT A PC BM Thick</t>
  </si>
  <si>
    <t>XWAPBA10</t>
  </si>
  <si>
    <t>PVS-LRO4S</t>
  </si>
  <si>
    <t>LRO4S</t>
  </si>
  <si>
    <t>#1</t>
  </si>
  <si>
    <t>2#</t>
  </si>
  <si>
    <t>Thickness_mm</t>
  </si>
  <si>
    <t>Length_mm</t>
  </si>
  <si>
    <t>1#</t>
  </si>
  <si>
    <t>4#</t>
  </si>
  <si>
    <t>FD</t>
  </si>
  <si>
    <t>OUTPUT</t>
  </si>
  <si>
    <t>2</t>
  </si>
  <si>
    <t>3</t>
  </si>
  <si>
    <t>4</t>
  </si>
  <si>
    <t>-</t>
  </si>
  <si>
    <t>FSC</t>
  </si>
  <si>
    <t>FSC CW</t>
  </si>
  <si>
    <t>XROPZ101</t>
  </si>
  <si>
    <t>XROPZ102</t>
  </si>
  <si>
    <t>XROPZ103</t>
  </si>
  <si>
    <t>XROPZ204</t>
  </si>
  <si>
    <t>XROPZ405</t>
  </si>
  <si>
    <t>XROPZF04</t>
  </si>
  <si>
    <t>XROPZF05</t>
  </si>
  <si>
    <t>PVS-LRO3S</t>
  </si>
  <si>
    <t>LRO3S</t>
  </si>
  <si>
    <t>PVS-LRO4F</t>
  </si>
  <si>
    <t>Red Oak Log Slicing A</t>
  </si>
  <si>
    <t>Red Oak Log Slicing B</t>
  </si>
  <si>
    <t>Red Oak Log Slicing A FSC</t>
  </si>
  <si>
    <t>LRO4F</t>
  </si>
  <si>
    <t>B</t>
  </si>
  <si>
    <t>Actual input and output quantities will be recorded after production.</t>
  </si>
  <si>
    <t>YWOFA801</t>
  </si>
  <si>
    <t>YWOFB801</t>
  </si>
  <si>
    <t>YWOFB802</t>
  </si>
  <si>
    <t>YWOFA802</t>
  </si>
  <si>
    <t>YWOPA801</t>
  </si>
  <si>
    <t>XWOFZA09</t>
  </si>
  <si>
    <t>XWOPZA06</t>
  </si>
  <si>
    <t>XWOPZB05</t>
  </si>
  <si>
    <t>PAA</t>
  </si>
  <si>
    <t>PB</t>
  </si>
  <si>
    <t>PA</t>
  </si>
  <si>
    <t>AB</t>
  </si>
  <si>
    <t>PSP-YWOFA801</t>
  </si>
  <si>
    <t>PSP-YWOFB801</t>
  </si>
  <si>
    <t>PSP-YWOFB802</t>
  </si>
  <si>
    <t>PSP-YWOFA802</t>
  </si>
  <si>
    <t>PSP-YWOPA801</t>
  </si>
  <si>
    <t>PSP-XWOFZA09</t>
  </si>
  <si>
    <t>PSP-XWOPZA06</t>
  </si>
  <si>
    <t>PSP-XWOPZB05</t>
  </si>
  <si>
    <t>XWOFZW01</t>
  </si>
  <si>
    <t>XWOFZW02</t>
  </si>
  <si>
    <t>XWOFZW06</t>
  </si>
  <si>
    <t>pcs.</t>
  </si>
  <si>
    <t>WF</t>
  </si>
  <si>
    <t>YWOFA801 Splicing</t>
  </si>
  <si>
    <t>YWOFB801 Splicing</t>
  </si>
  <si>
    <t>XWOPZW02</t>
  </si>
  <si>
    <t>YWOFB802 Splicing</t>
  </si>
  <si>
    <t>XWOFZW05</t>
  </si>
  <si>
    <t>XWOFZW03</t>
  </si>
  <si>
    <t>XWOFZW04</t>
  </si>
  <si>
    <t>XWOPZW04</t>
  </si>
  <si>
    <t>XWOFZW08</t>
  </si>
  <si>
    <t>XWOPZW09</t>
  </si>
  <si>
    <t>YWOFA802 Splicing</t>
  </si>
  <si>
    <t>XWOFZW09</t>
  </si>
  <si>
    <t>XWOPZW03</t>
  </si>
  <si>
    <t>XWOPZW01</t>
  </si>
  <si>
    <t>YWOPA801 Splicing</t>
  </si>
  <si>
    <t>XWOFZA09 Splicing</t>
  </si>
  <si>
    <t>XWOPZA06 Splicing</t>
  </si>
  <si>
    <t>XWOPZW08</t>
  </si>
  <si>
    <t>XWOPZW11</t>
  </si>
  <si>
    <t>XWOPZB05 Splicing</t>
  </si>
  <si>
    <t>GRA-XWOFZW01</t>
  </si>
  <si>
    <t>GRA-XWOFZW02</t>
  </si>
  <si>
    <t>GRA-XWOFZW06</t>
  </si>
  <si>
    <t>GRA-XWOPZW02</t>
  </si>
  <si>
    <t>GRA-XWOFZW05</t>
  </si>
  <si>
    <t>GRA-XWOFZW03</t>
  </si>
  <si>
    <t>GRA-XWOFZW04</t>
  </si>
  <si>
    <t>GRA-XWOPZW04</t>
  </si>
  <si>
    <t>GRA-XWOFZW08</t>
  </si>
  <si>
    <t>GRA-XWOPZW09</t>
  </si>
  <si>
    <t>GRA-XWOPZW03</t>
  </si>
  <si>
    <t>GRA-XWOPZW01</t>
  </si>
  <si>
    <t>RG-XWOFSA17</t>
  </si>
  <si>
    <t>RG-XWOFSA01</t>
  </si>
  <si>
    <t>RG-XWOFSC01</t>
  </si>
  <si>
    <t>RG-XWOFSB01</t>
  </si>
  <si>
    <t>RG-XWOFM206</t>
  </si>
  <si>
    <t>RG-XMOZZ402</t>
  </si>
  <si>
    <t>RG-XWOFSA03</t>
  </si>
  <si>
    <t>RG-XWOFM101</t>
  </si>
  <si>
    <t>RG-XWOFBA01</t>
  </si>
  <si>
    <t>RG-XWOFBB01</t>
  </si>
  <si>
    <t>RG-XWOPM101</t>
  </si>
  <si>
    <t>RG-XWOPM201</t>
  </si>
  <si>
    <r>
      <rPr>
        <b/>
        <sz val="9"/>
        <color theme="0"/>
        <rFont val="Arial Narrow"/>
        <family val="2"/>
      </rPr>
      <t xml:space="preserve">Code
</t>
    </r>
    <r>
      <rPr>
        <b/>
        <sz val="9"/>
        <color theme="0"/>
        <rFont val="黑体"/>
        <charset val="222"/>
      </rPr>
      <t>编码</t>
    </r>
  </si>
  <si>
    <r>
      <rPr>
        <b/>
        <sz val="9"/>
        <color theme="0"/>
        <rFont val="Arial Narrow"/>
        <family val="2"/>
      </rPr>
      <t xml:space="preserve">Species
</t>
    </r>
    <r>
      <rPr>
        <b/>
        <sz val="9"/>
        <color theme="0"/>
        <rFont val="黑体"/>
        <charset val="222"/>
      </rPr>
      <t>树种</t>
    </r>
  </si>
  <si>
    <r>
      <rPr>
        <b/>
        <sz val="9"/>
        <color theme="0"/>
        <rFont val="Arial Narrow"/>
        <family val="2"/>
      </rPr>
      <t xml:space="preserve">V-THI
</t>
    </r>
    <r>
      <rPr>
        <b/>
        <sz val="9"/>
        <color theme="0"/>
        <rFont val="黑体"/>
        <charset val="222"/>
      </rPr>
      <t>厚度</t>
    </r>
  </si>
  <si>
    <r>
      <rPr>
        <b/>
        <sz val="9"/>
        <color theme="0"/>
        <rFont val="Arial Narrow"/>
        <family val="2"/>
      </rPr>
      <t xml:space="preserve">Width
</t>
    </r>
    <r>
      <rPr>
        <b/>
        <sz val="9"/>
        <color theme="0"/>
        <rFont val="黑体"/>
        <charset val="222"/>
      </rPr>
      <t>宽</t>
    </r>
    <r>
      <rPr>
        <b/>
        <sz val="9"/>
        <color theme="0"/>
        <rFont val="Arial Narrow"/>
        <family val="2"/>
      </rPr>
      <t>(mm)</t>
    </r>
  </si>
  <si>
    <r>
      <rPr>
        <b/>
        <sz val="9"/>
        <color theme="0"/>
        <rFont val="Arial Narrow"/>
        <family val="2"/>
      </rPr>
      <t>Length</t>
    </r>
    <r>
      <rPr>
        <b/>
        <sz val="9"/>
        <color theme="0"/>
        <rFont val="黑体"/>
        <charset val="222"/>
      </rPr>
      <t>长</t>
    </r>
    <r>
      <rPr>
        <b/>
        <sz val="9"/>
        <color theme="0"/>
        <rFont val="Arial Narrow"/>
        <family val="2"/>
      </rPr>
      <t>(mm)</t>
    </r>
  </si>
  <si>
    <r>
      <rPr>
        <b/>
        <sz val="9"/>
        <color theme="0"/>
        <rFont val="Arial Narrow"/>
        <family val="2"/>
      </rPr>
      <t xml:space="preserve">F/B
</t>
    </r>
    <r>
      <rPr>
        <b/>
        <sz val="9"/>
        <color theme="0"/>
        <rFont val="黑体"/>
        <charset val="222"/>
      </rPr>
      <t>面底</t>
    </r>
  </si>
  <si>
    <r>
      <rPr>
        <b/>
        <sz val="9"/>
        <color theme="0"/>
        <rFont val="Arial Narrow"/>
        <family val="2"/>
      </rPr>
      <t xml:space="preserve">Cut
</t>
    </r>
    <r>
      <rPr>
        <b/>
        <sz val="9"/>
        <color theme="0"/>
        <rFont val="黑体"/>
        <charset val="222"/>
      </rPr>
      <t>纹理</t>
    </r>
  </si>
  <si>
    <r>
      <rPr>
        <b/>
        <sz val="9"/>
        <color theme="0"/>
        <rFont val="Arial Narrow"/>
        <family val="2"/>
      </rPr>
      <t xml:space="preserve">Grade
</t>
    </r>
    <r>
      <rPr>
        <b/>
        <sz val="9"/>
        <color theme="0"/>
        <rFont val="黑体"/>
        <charset val="222"/>
      </rPr>
      <t>等级</t>
    </r>
  </si>
  <si>
    <r>
      <t xml:space="preserve">Mat.
</t>
    </r>
    <r>
      <rPr>
        <b/>
        <sz val="9"/>
        <color theme="0"/>
        <rFont val="黑体"/>
        <charset val="222"/>
      </rPr>
      <t>拼接</t>
    </r>
  </si>
  <si>
    <r>
      <rPr>
        <b/>
        <sz val="9"/>
        <color theme="0"/>
        <rFont val="Arial Narrow"/>
        <family val="2"/>
      </rPr>
      <t xml:space="preserve">Unit
</t>
    </r>
    <r>
      <rPr>
        <b/>
        <sz val="9"/>
        <color theme="0"/>
        <rFont val="黑体"/>
        <charset val="222"/>
      </rPr>
      <t>单位</t>
    </r>
  </si>
  <si>
    <t>类别</t>
  </si>
  <si>
    <t>RG-XALPB102</t>
  </si>
  <si>
    <t>ALDER</t>
  </si>
  <si>
    <t>BACK</t>
  </si>
  <si>
    <t>PC</t>
  </si>
  <si>
    <t>BM</t>
  </si>
  <si>
    <t>Pcs</t>
  </si>
  <si>
    <t>48-自贴</t>
  </si>
  <si>
    <t>XALPB102</t>
  </si>
  <si>
    <t>RG-XALPB101</t>
  </si>
  <si>
    <t>XALPB101</t>
  </si>
  <si>
    <t>RG-XALPM101</t>
  </si>
  <si>
    <t>MPF</t>
  </si>
  <si>
    <t>RG-XALPS101</t>
  </si>
  <si>
    <t>SM</t>
  </si>
  <si>
    <t>RG-XALPM102</t>
  </si>
  <si>
    <t>#1 IKE</t>
  </si>
  <si>
    <t>XALPM102</t>
  </si>
  <si>
    <t>RG-XALPP102</t>
  </si>
  <si>
    <t>PM</t>
  </si>
  <si>
    <t>XALPP102</t>
  </si>
  <si>
    <t>RG-XALPP101</t>
  </si>
  <si>
    <t>Z</t>
  </si>
  <si>
    <t>#1 Rustic</t>
  </si>
  <si>
    <t>XALPP101</t>
  </si>
  <si>
    <t>RG-XALPM201</t>
  </si>
  <si>
    <t>#2</t>
  </si>
  <si>
    <t>RG-XALPP201</t>
  </si>
  <si>
    <t>RG-XALPM202</t>
  </si>
  <si>
    <t>#2 UFP</t>
  </si>
  <si>
    <t>XALPM202</t>
  </si>
  <si>
    <t>RG-XALPM401</t>
  </si>
  <si>
    <t>#4</t>
  </si>
  <si>
    <t>RG-XALPBA01</t>
  </si>
  <si>
    <t>FACE</t>
  </si>
  <si>
    <t>RG-XALPPA01</t>
  </si>
  <si>
    <t>RG-XALPPA04</t>
  </si>
  <si>
    <t>PM Horizontal</t>
  </si>
  <si>
    <t>RG-XALPPA02</t>
  </si>
  <si>
    <t>A IKE</t>
  </si>
  <si>
    <t>XALPPA02</t>
  </si>
  <si>
    <t>RG-XALPPA03</t>
  </si>
  <si>
    <t>A UFP</t>
  </si>
  <si>
    <t>XALPPA03</t>
  </si>
  <si>
    <t>RG-XALPBB02</t>
  </si>
  <si>
    <t>XALPBB02</t>
  </si>
  <si>
    <t>RG-XALPBB01</t>
  </si>
  <si>
    <t>RG-XALPBB03</t>
  </si>
  <si>
    <t>RG-XALPPB02</t>
  </si>
  <si>
    <t>XALPPB02</t>
  </si>
  <si>
    <t>RG-XALPPB01</t>
  </si>
  <si>
    <t>RG-XALPPB03</t>
  </si>
  <si>
    <t>RG-XALPPB04</t>
  </si>
  <si>
    <t>RG-XALPSB02</t>
  </si>
  <si>
    <t>XALPSB02</t>
  </si>
  <si>
    <t>RG-XALPSB01</t>
  </si>
  <si>
    <t>RG-XALPBB04</t>
  </si>
  <si>
    <t>B EBS</t>
  </si>
  <si>
    <t>XALPBB04</t>
  </si>
  <si>
    <t>RG-XALPPC01</t>
  </si>
  <si>
    <t>C</t>
  </si>
  <si>
    <t>RG-XALPPC03</t>
  </si>
  <si>
    <t>C IKE</t>
  </si>
  <si>
    <t>XALPPC03</t>
  </si>
  <si>
    <t>RG-XALPPC02</t>
  </si>
  <si>
    <t>C UFP</t>
  </si>
  <si>
    <t>XALPPC02</t>
  </si>
  <si>
    <t>RG-XALPPR01</t>
  </si>
  <si>
    <t>Rustic</t>
  </si>
  <si>
    <t>RG-XALPPR03</t>
  </si>
  <si>
    <t>Rustic EBS</t>
  </si>
  <si>
    <t>XALPPR03</t>
  </si>
  <si>
    <t>RG-XALPPR02</t>
  </si>
  <si>
    <t>Rustic+</t>
  </si>
  <si>
    <t>RG-XALPPS01</t>
  </si>
  <si>
    <t>STK</t>
  </si>
  <si>
    <t>RG-XAPRWA03</t>
  </si>
  <si>
    <t>APITONG</t>
  </si>
  <si>
    <t>RC</t>
  </si>
  <si>
    <t>WPF</t>
  </si>
  <si>
    <t>XAPRWA03</t>
  </si>
  <si>
    <t>RG-XAPRWC04</t>
  </si>
  <si>
    <t>XAPRWC04</t>
  </si>
  <si>
    <t>RG-XAPRWD01</t>
  </si>
  <si>
    <t>D</t>
  </si>
  <si>
    <t>XAPRWD01</t>
  </si>
  <si>
    <t>RG-XAPRWE01</t>
  </si>
  <si>
    <t>E</t>
  </si>
  <si>
    <t>XAPRWE01</t>
  </si>
  <si>
    <t>RG-XBERW202</t>
  </si>
  <si>
    <t>BEECH</t>
  </si>
  <si>
    <t>XBERW202</t>
  </si>
  <si>
    <t>RG-XBERWB03</t>
  </si>
  <si>
    <t>XBERWB03</t>
  </si>
  <si>
    <t>RG-XBERWC01</t>
  </si>
  <si>
    <t>XBERWC01</t>
  </si>
  <si>
    <t>RG-XBEPB101</t>
  </si>
  <si>
    <t>XBEPB101</t>
  </si>
  <si>
    <t>RG-XBEPM101</t>
  </si>
  <si>
    <t>RG-XBEPM102</t>
  </si>
  <si>
    <t>XBEPM102</t>
  </si>
  <si>
    <t>RG-XBEPM103</t>
  </si>
  <si>
    <t>RG-XBEPP101</t>
  </si>
  <si>
    <t>XBEPP101</t>
  </si>
  <si>
    <t>RG-XBEPS104</t>
  </si>
  <si>
    <t>XBEPS104</t>
  </si>
  <si>
    <t>RG-XBEPM201</t>
  </si>
  <si>
    <t>RG-XBEPBA01</t>
  </si>
  <si>
    <t>XBEPBA01</t>
  </si>
  <si>
    <t>RG-XBEPSA01</t>
  </si>
  <si>
    <t>XBEPSA01</t>
  </si>
  <si>
    <t>RG-XBEPSA02</t>
  </si>
  <si>
    <t>RG-XBEPBB02</t>
  </si>
  <si>
    <t>RG-XBEPPB01</t>
  </si>
  <si>
    <t>XBEPPB01</t>
  </si>
  <si>
    <t>RG-XBEPBB01</t>
  </si>
  <si>
    <t>B NO FIG</t>
  </si>
  <si>
    <t>XBEPBB01</t>
  </si>
  <si>
    <t>RG-XBEPSB01</t>
  </si>
  <si>
    <t>XBEPSB01</t>
  </si>
  <si>
    <t>RG-XBEPBF01</t>
  </si>
  <si>
    <t>COM-door</t>
  </si>
  <si>
    <t>XBEPBF01</t>
  </si>
  <si>
    <t>RG-XBEQBF01</t>
  </si>
  <si>
    <t>QC</t>
  </si>
  <si>
    <t>XBEQBF01</t>
  </si>
  <si>
    <t>RG-XBERM101</t>
  </si>
  <si>
    <t>RG-XBERS101</t>
  </si>
  <si>
    <t>XBERS101</t>
  </si>
  <si>
    <t>RG-XBERM201</t>
  </si>
  <si>
    <t>RG-XBERSB01</t>
  </si>
  <si>
    <t>XBERSB01</t>
  </si>
  <si>
    <t>RG-XBERSB02</t>
  </si>
  <si>
    <t>RG-XCEPZA01</t>
  </si>
  <si>
    <t>CEDAR</t>
  </si>
  <si>
    <t>NON</t>
  </si>
  <si>
    <t>M2</t>
  </si>
  <si>
    <t>XCEPZA01</t>
  </si>
  <si>
    <t>RG-XCEPPA01</t>
  </si>
  <si>
    <t>XCEPPA01</t>
  </si>
  <si>
    <t>RG-XCHPB101</t>
  </si>
  <si>
    <t>CHERRY</t>
  </si>
  <si>
    <t>XCHPB101</t>
  </si>
  <si>
    <t>RG-XCHPM101</t>
  </si>
  <si>
    <t>RG-XCHPM201</t>
  </si>
  <si>
    <t>XCHPM201</t>
  </si>
  <si>
    <t>RG-XCHPBA01</t>
  </si>
  <si>
    <t>RG-XCHPBA02</t>
  </si>
  <si>
    <t>A SQ&amp;N</t>
  </si>
  <si>
    <t>XCHPBA02</t>
  </si>
  <si>
    <t>RG-XCHPBB01</t>
  </si>
  <si>
    <t>XCHPBB01</t>
  </si>
  <si>
    <t>RG-XCHPSB01</t>
  </si>
  <si>
    <t>RG-XCHPBC01</t>
  </si>
  <si>
    <t>XCHPBC01</t>
  </si>
  <si>
    <t>RG-XCHPSC01</t>
  </si>
  <si>
    <t>RG-XCHPBC02</t>
  </si>
  <si>
    <t>C NO FIG 4 INCH</t>
  </si>
  <si>
    <t>XCHPBC02</t>
  </si>
  <si>
    <t>RG-XCHPSC02</t>
  </si>
  <si>
    <t>XCHPSC02</t>
  </si>
  <si>
    <t>RG-XCHPBA04</t>
  </si>
  <si>
    <t>Door A</t>
  </si>
  <si>
    <t>RG-XCHPBA03</t>
  </si>
  <si>
    <t>RG-XCHPBA05</t>
  </si>
  <si>
    <t>RG-XCHPBA06</t>
  </si>
  <si>
    <t>RG-XCHPBA51</t>
  </si>
  <si>
    <t>DOOR A</t>
  </si>
  <si>
    <t>XCHPBA06</t>
  </si>
  <si>
    <t>RG-XCHPBA07</t>
  </si>
  <si>
    <t>BM Pair Mat. Center Balanced</t>
  </si>
  <si>
    <t>XCHPZW01</t>
  </si>
  <si>
    <t>XCHPZW02</t>
  </si>
  <si>
    <t>RG-XCHPZW01</t>
  </si>
  <si>
    <t>RG-XCHPZW02</t>
  </si>
  <si>
    <t>RG-XCYPM201</t>
  </si>
  <si>
    <t>CYPRESS</t>
  </si>
  <si>
    <t>XCYPM201</t>
  </si>
  <si>
    <t>RG-XCYPPA01</t>
  </si>
  <si>
    <t>XCYPPA01</t>
  </si>
  <si>
    <t>RG-XCYPBB01</t>
  </si>
  <si>
    <t>XCYPBB01</t>
  </si>
  <si>
    <t>RG-XCYPPB01</t>
  </si>
  <si>
    <t>XCYPPB01</t>
  </si>
  <si>
    <t>RG-XCYPPC01</t>
  </si>
  <si>
    <t>XCYPPC01</t>
  </si>
  <si>
    <t>RG-XCYPPR01</t>
  </si>
  <si>
    <t>XCYPPR01</t>
  </si>
  <si>
    <t>RG-XENRWF11</t>
  </si>
  <si>
    <t>Engineered Hardwood</t>
  </si>
  <si>
    <t>FSC 100%</t>
  </si>
  <si>
    <t>RES-door</t>
  </si>
  <si>
    <t>RG-XENRWF12</t>
  </si>
  <si>
    <t>RG-XENRWF13</t>
  </si>
  <si>
    <t>RG-XENRWF14</t>
  </si>
  <si>
    <t>RG-XENRWF17</t>
  </si>
  <si>
    <t>XENRWF11</t>
  </si>
  <si>
    <t>XENRWF12</t>
  </si>
  <si>
    <t>XENRWF13</t>
  </si>
  <si>
    <t>XENRWF14</t>
  </si>
  <si>
    <t>XENRWF17</t>
  </si>
  <si>
    <t>RG-XENRWF15</t>
  </si>
  <si>
    <t>XENRWF15</t>
  </si>
  <si>
    <t>RG-XENRWF16</t>
  </si>
  <si>
    <t>Door FD</t>
  </si>
  <si>
    <t>XENRWF16</t>
  </si>
  <si>
    <t>RG-XEPZW202</t>
  </si>
  <si>
    <t>EV POPLAR</t>
  </si>
  <si>
    <t>XEPZW202</t>
  </si>
  <si>
    <t>RG-XHIPM101</t>
  </si>
  <si>
    <t>HICKORY</t>
  </si>
  <si>
    <t>RG-XHIPM201</t>
  </si>
  <si>
    <t>RG-XHIPBA01</t>
  </si>
  <si>
    <t>A Calico</t>
  </si>
  <si>
    <t>XHIPBA01</t>
  </si>
  <si>
    <t>RG-XHIPBB01</t>
  </si>
  <si>
    <t>B All Heart</t>
  </si>
  <si>
    <t>XHIPBB01</t>
  </si>
  <si>
    <t>RG-XHIPBB02</t>
  </si>
  <si>
    <t>B Calico</t>
  </si>
  <si>
    <t>RG-XHIPBB03</t>
  </si>
  <si>
    <t>B Heartwood</t>
  </si>
  <si>
    <t>RG-XHIPPR01</t>
  </si>
  <si>
    <t>XHIPPR01</t>
  </si>
  <si>
    <t>RG-XKHPB201</t>
  </si>
  <si>
    <t>KHAYA</t>
  </si>
  <si>
    <t>XKHPB201</t>
  </si>
  <si>
    <t>RG-XKHPBA01</t>
  </si>
  <si>
    <t>XKHPBA01</t>
  </si>
  <si>
    <t>RG-XKNPM101</t>
  </si>
  <si>
    <t>KNOTTY PINE</t>
  </si>
  <si>
    <t>XKNPM101</t>
  </si>
  <si>
    <t>RG-XKNPP201</t>
  </si>
  <si>
    <t>RG-XKNPPA01</t>
  </si>
  <si>
    <t>RG-XKNPPB01</t>
  </si>
  <si>
    <t>XKNPPB01</t>
  </si>
  <si>
    <t>RG-XMHPBA01</t>
  </si>
  <si>
    <t>MAHOGANY</t>
  </si>
  <si>
    <t>XMHPBA01</t>
  </si>
  <si>
    <t>RG-XMHPBB01</t>
  </si>
  <si>
    <t>XMHPBB01</t>
  </si>
  <si>
    <t>RG-XMDZZZ01</t>
  </si>
  <si>
    <t>MDO</t>
  </si>
  <si>
    <t>XMDZZZ01</t>
  </si>
  <si>
    <t>RG-XMOZZ401</t>
  </si>
  <si>
    <t>MOB</t>
  </si>
  <si>
    <t>XMOZZ401</t>
  </si>
  <si>
    <t>XMOZZ402</t>
  </si>
  <si>
    <t>RG-XNBRWF15</t>
  </si>
  <si>
    <t>N.BIRCH</t>
  </si>
  <si>
    <t>RG-XNBRWF18</t>
  </si>
  <si>
    <t>RG-XNBRWF21</t>
  </si>
  <si>
    <t>XNBRWF18</t>
  </si>
  <si>
    <t>RG-XNBRWF16</t>
  </si>
  <si>
    <t>RG-XNBRWF22</t>
  </si>
  <si>
    <t>RG-XNBRWF14</t>
  </si>
  <si>
    <t>RG-XNBRWF17</t>
  </si>
  <si>
    <t>RG-XNBRWF23</t>
  </si>
  <si>
    <t>XNBRWF14</t>
  </si>
  <si>
    <t>RG-XNBRW301</t>
  </si>
  <si>
    <t>#3</t>
  </si>
  <si>
    <t>XNBRW301</t>
  </si>
  <si>
    <t>RG-XNBRWD01</t>
  </si>
  <si>
    <t>XNBRWD01</t>
  </si>
  <si>
    <t>RG-XNBRM202</t>
  </si>
  <si>
    <t>XNBRM202</t>
  </si>
  <si>
    <t>RG-XNBRWB02</t>
  </si>
  <si>
    <t>KMB</t>
  </si>
  <si>
    <t>XNBRWB02</t>
  </si>
  <si>
    <t>RG-XNBPBA01</t>
  </si>
  <si>
    <t>XNBPBA01</t>
  </si>
  <si>
    <t>RG-XNBRM101</t>
  </si>
  <si>
    <t>XNBRM101</t>
  </si>
  <si>
    <t>RG-XNBRW101</t>
  </si>
  <si>
    <t>RG-XNBRM203</t>
  </si>
  <si>
    <t>XNBRM203</t>
  </si>
  <si>
    <t>RG-XNBRM201</t>
  </si>
  <si>
    <t>XNBRM201</t>
  </si>
  <si>
    <t>RG-XNBRBA12</t>
  </si>
  <si>
    <t>XNBRBA12</t>
  </si>
  <si>
    <t>RG-XNBRWA02</t>
  </si>
  <si>
    <t>RG-XNBRWA03</t>
  </si>
  <si>
    <t>XNBRWA03</t>
  </si>
  <si>
    <t>RG-XNBRMB01</t>
  </si>
  <si>
    <t>RG-XNBRMB02</t>
  </si>
  <si>
    <t>XNBRMB01</t>
  </si>
  <si>
    <t>XNBRMB02</t>
  </si>
  <si>
    <t>RG-XNBRPB01</t>
  </si>
  <si>
    <t>XNBRPB01</t>
  </si>
  <si>
    <t>RG-XNBRSB01</t>
  </si>
  <si>
    <t>XNBRSB01</t>
  </si>
  <si>
    <t>RG-XNBRWC02</t>
  </si>
  <si>
    <t>XNBRWC02</t>
  </si>
  <si>
    <t>RG-XNBRWD02</t>
  </si>
  <si>
    <t>XNBRWD02</t>
  </si>
  <si>
    <t>RG-XNBRBA03</t>
  </si>
  <si>
    <t>RG-XNBRBA02</t>
  </si>
  <si>
    <t>RG-XNBRBA05</t>
  </si>
  <si>
    <t>RG-XNBRBA04</t>
  </si>
  <si>
    <t>RG-XNBRBA07</t>
  </si>
  <si>
    <t>RG-XNBRBA01</t>
  </si>
  <si>
    <t>RG-XNBRBA06</t>
  </si>
  <si>
    <t>RG-XNBRBA51</t>
  </si>
  <si>
    <t>XNBRBA06</t>
  </si>
  <si>
    <t>RG-XNBRBA08</t>
  </si>
  <si>
    <t>Door AB</t>
  </si>
  <si>
    <t>XNBRBA08</t>
  </si>
  <si>
    <t>RG-XNBRBA09</t>
  </si>
  <si>
    <t>XNBRBA09</t>
  </si>
  <si>
    <t>RG-XNBRBA10</t>
  </si>
  <si>
    <t>XNBRBA10</t>
  </si>
  <si>
    <t>RG-XNBRMB03</t>
  </si>
  <si>
    <t>XNBRMB03</t>
  </si>
  <si>
    <t>RG-XNMRW201</t>
  </si>
  <si>
    <t>N.MAPLE</t>
  </si>
  <si>
    <t>XNMRW201</t>
  </si>
  <si>
    <t>RG-XNMRW301</t>
  </si>
  <si>
    <t>XNMRW301</t>
  </si>
  <si>
    <t>RG-XNMRW402</t>
  </si>
  <si>
    <t>XNMRW402</t>
  </si>
  <si>
    <t>RG-XNMRWB01</t>
  </si>
  <si>
    <t>XNMRWB01</t>
  </si>
  <si>
    <t>RG-XNMRWD01</t>
  </si>
  <si>
    <t>XNMRWD01</t>
  </si>
  <si>
    <t>RG-XNMRW401</t>
  </si>
  <si>
    <t>XNMRW401</t>
  </si>
  <si>
    <t>RG-XOKRWS01</t>
  </si>
  <si>
    <t>OKOUME</t>
  </si>
  <si>
    <t>Sound</t>
  </si>
  <si>
    <t>RG-XPEPM201</t>
  </si>
  <si>
    <t>PECAN</t>
  </si>
  <si>
    <t>XPEPM201</t>
  </si>
  <si>
    <t>RG-XRBRW101</t>
  </si>
  <si>
    <t>R.BIRCH</t>
  </si>
  <si>
    <t>XRBRW101</t>
  </si>
  <si>
    <t>RG-XRBRW201</t>
  </si>
  <si>
    <t>XRBRW201</t>
  </si>
  <si>
    <t>RG-XRBRWB01</t>
  </si>
  <si>
    <t>XRBRWB01</t>
  </si>
  <si>
    <t>RG-XRBRWC01</t>
  </si>
  <si>
    <t>XRBRWC01</t>
  </si>
  <si>
    <t>RG-XRBRMB02</t>
  </si>
  <si>
    <t>XRBRMB02</t>
  </si>
  <si>
    <t>RG-XROPB201</t>
  </si>
  <si>
    <t>R.OAK</t>
  </si>
  <si>
    <t>XROPB201</t>
  </si>
  <si>
    <t>RG-XRORM291</t>
  </si>
  <si>
    <t>XRORM291</t>
  </si>
  <si>
    <t>RG-XRORWB91</t>
  </si>
  <si>
    <t>XRORWB91</t>
  </si>
  <si>
    <t>RG-XROPB102</t>
  </si>
  <si>
    <t>XROPB102</t>
  </si>
  <si>
    <t>RG-XROPM104</t>
  </si>
  <si>
    <t>XROPM104</t>
  </si>
  <si>
    <t>RG-XROPS102</t>
  </si>
  <si>
    <t>XROPS102</t>
  </si>
  <si>
    <t>RG-XROPB204</t>
  </si>
  <si>
    <t>XROPB204</t>
  </si>
  <si>
    <t>RG-XROPBA22</t>
  </si>
  <si>
    <t>XROPBA22</t>
  </si>
  <si>
    <t>RG-XROPBA21</t>
  </si>
  <si>
    <t>XROPBA21</t>
  </si>
  <si>
    <t>RG-XROPBA27</t>
  </si>
  <si>
    <t>XROPBA27</t>
  </si>
  <si>
    <t>RG-XROPBB02</t>
  </si>
  <si>
    <t>XROPBB02</t>
  </si>
  <si>
    <t>RG-XROPSB02</t>
  </si>
  <si>
    <t>XROPSB02</t>
  </si>
  <si>
    <t>RG-XROPBA23</t>
  </si>
  <si>
    <t>RG-XROPBA24</t>
  </si>
  <si>
    <t>XROPBA23</t>
  </si>
  <si>
    <t>XROPBA24</t>
  </si>
  <si>
    <t>RG-XROPZW01</t>
  </si>
  <si>
    <t>XROPZW01</t>
  </si>
  <si>
    <t>XROPZW02</t>
  </si>
  <si>
    <t>RG-XROPZW02</t>
  </si>
  <si>
    <t>XROPZW03</t>
  </si>
  <si>
    <t>XROPZW08</t>
  </si>
  <si>
    <t>XROPZW04</t>
  </si>
  <si>
    <t>RG-XROPB101</t>
  </si>
  <si>
    <t>XROPB101</t>
  </si>
  <si>
    <t>RG-XROPM101</t>
  </si>
  <si>
    <t>RG-XROPM102</t>
  </si>
  <si>
    <t>Back</t>
  </si>
  <si>
    <t>XROPM102</t>
  </si>
  <si>
    <t>RG-XROPM103</t>
  </si>
  <si>
    <t>back</t>
  </si>
  <si>
    <t>XROPM103</t>
  </si>
  <si>
    <t>RG-XROPS101</t>
  </si>
  <si>
    <t>XROPS101</t>
  </si>
  <si>
    <t>RG-XROPB203</t>
  </si>
  <si>
    <t>XROPB203</t>
  </si>
  <si>
    <t>RG-XROPB202</t>
  </si>
  <si>
    <t>XROPB202</t>
  </si>
  <si>
    <t>RG-XROPM201</t>
  </si>
  <si>
    <t>KROPZ201</t>
  </si>
  <si>
    <t>#2 SOUND No sap</t>
  </si>
  <si>
    <t>48-出口</t>
  </si>
  <si>
    <t>RG-KROPZ201</t>
  </si>
  <si>
    <t>RG-XROPM401</t>
  </si>
  <si>
    <t>XROPM401</t>
  </si>
  <si>
    <t>KROPBA01</t>
  </si>
  <si>
    <t>Face</t>
  </si>
  <si>
    <t>KROPBA02</t>
  </si>
  <si>
    <t>KROPBA03</t>
  </si>
  <si>
    <t>KROPBA04</t>
  </si>
  <si>
    <t>RG-XROPBA01</t>
  </si>
  <si>
    <t>RG-XROPBA14</t>
  </si>
  <si>
    <t>XROPBA01</t>
  </si>
  <si>
    <t>XROPBA14</t>
  </si>
  <si>
    <t>RG-XROPBA13</t>
  </si>
  <si>
    <t>XROPBA13</t>
  </si>
  <si>
    <t>RG-XROPBA02</t>
  </si>
  <si>
    <t>XROPBA02</t>
  </si>
  <si>
    <t>KROPBA05</t>
  </si>
  <si>
    <t>AA</t>
  </si>
  <si>
    <t>KROPBB01</t>
  </si>
  <si>
    <t>RG-XROPBB01</t>
  </si>
  <si>
    <t>RG-XROPSB01</t>
  </si>
  <si>
    <t>RG-XROPBC01</t>
  </si>
  <si>
    <t>XROPBC01</t>
  </si>
  <si>
    <t>RG-XROPSC01</t>
  </si>
  <si>
    <t>XROPSC01</t>
  </si>
  <si>
    <t>RG-XROPBA05</t>
  </si>
  <si>
    <t>RG-XROPBA15</t>
  </si>
  <si>
    <t>RG-XROPBA17</t>
  </si>
  <si>
    <t>RG-XROPBA18</t>
  </si>
  <si>
    <t>RG-XROPBA19</t>
  </si>
  <si>
    <t>RG-XROPBA03</t>
  </si>
  <si>
    <t>RG-XROPBA10</t>
  </si>
  <si>
    <t>RG-XROPBA04</t>
  </si>
  <si>
    <t>RG-XROPBA11</t>
  </si>
  <si>
    <t>RG-XROPBA16</t>
  </si>
  <si>
    <t>XROPBA16</t>
  </si>
  <si>
    <t>RG-XROPBA06</t>
  </si>
  <si>
    <t>RG-XROPBA12</t>
  </si>
  <si>
    <t>RG-XROPBA51</t>
  </si>
  <si>
    <t>RG-XROPBA07</t>
  </si>
  <si>
    <t>XROPBA07</t>
  </si>
  <si>
    <t>RG-XROPBA08</t>
  </si>
  <si>
    <t>XROPBA08</t>
  </si>
  <si>
    <t>RG-XROPBA09</t>
  </si>
  <si>
    <t>XROPBA09</t>
  </si>
  <si>
    <t>KROPZS01</t>
  </si>
  <si>
    <t>SOUND No Sap</t>
  </si>
  <si>
    <t>XROPZW09</t>
  </si>
  <si>
    <t>XROPZW05</t>
  </si>
  <si>
    <t>XROPZW07</t>
  </si>
  <si>
    <t>XROPZW06</t>
  </si>
  <si>
    <t>RG-XRORW101</t>
  </si>
  <si>
    <t>RG-XRORM201</t>
  </si>
  <si>
    <t>RG-XRORW202</t>
  </si>
  <si>
    <t>XRORW202</t>
  </si>
  <si>
    <t>RG-XRORWA01</t>
  </si>
  <si>
    <t>XRORWA01</t>
  </si>
  <si>
    <t>RG-XRORSB01</t>
  </si>
  <si>
    <t>XRORSB01</t>
  </si>
  <si>
    <t>RG-XRORWB01</t>
  </si>
  <si>
    <t>RG-XRORWC01</t>
  </si>
  <si>
    <t>XRORWC01</t>
  </si>
  <si>
    <t>RG-XROFM101</t>
  </si>
  <si>
    <t>RIFT</t>
  </si>
  <si>
    <t>XROFM101</t>
  </si>
  <si>
    <t>RG-XROFBA01</t>
  </si>
  <si>
    <t>RG-XROFBA02</t>
  </si>
  <si>
    <t>RG-XROFBA03</t>
  </si>
  <si>
    <t>RG-XROFBA04</t>
  </si>
  <si>
    <t>XROFBA04</t>
  </si>
  <si>
    <t>RG-XROPZA10</t>
  </si>
  <si>
    <t>XROPZA10</t>
  </si>
  <si>
    <t>RG-XSARWF09</t>
  </si>
  <si>
    <t>SAPELE</t>
  </si>
  <si>
    <t>XSARWF09</t>
  </si>
  <si>
    <t>RG-XSARWF38</t>
  </si>
  <si>
    <t>RG-XSARWF10</t>
  </si>
  <si>
    <t>XSARWF10</t>
  </si>
  <si>
    <t>RG-XSARWF21</t>
  </si>
  <si>
    <t>RG-XSARWF22</t>
  </si>
  <si>
    <t>RG-XSARWF23</t>
  </si>
  <si>
    <t>RG-XSARWF24</t>
  </si>
  <si>
    <t>RG-XSARWF25</t>
  </si>
  <si>
    <t>RG-XSARWF31</t>
  </si>
  <si>
    <t>RG-XSARWF32</t>
  </si>
  <si>
    <t>RG-XSARWF33</t>
  </si>
  <si>
    <t>RG-XSARWF34</t>
  </si>
  <si>
    <t>RG-XSARWF39</t>
  </si>
  <si>
    <t>XSARWF21</t>
  </si>
  <si>
    <t>XSARWF22</t>
  </si>
  <si>
    <t>XSARWF23</t>
  </si>
  <si>
    <t>XSARWF24</t>
  </si>
  <si>
    <t>XSARWF25</t>
  </si>
  <si>
    <t>RG-XSARWF01</t>
  </si>
  <si>
    <t>RG-XSARWF02</t>
  </si>
  <si>
    <t>RG-XSARWF03</t>
  </si>
  <si>
    <t>RG-XSARWF04</t>
  </si>
  <si>
    <t>RG-XSARWF05</t>
  </si>
  <si>
    <t>RG-XSARWF06</t>
  </si>
  <si>
    <t>RG-XSARWF35</t>
  </si>
  <si>
    <t>XSARWF02</t>
  </si>
  <si>
    <t>XSARWF03</t>
  </si>
  <si>
    <t>XSARWF04</t>
  </si>
  <si>
    <t>XSARWF05</t>
  </si>
  <si>
    <t>XSARWF06</t>
  </si>
  <si>
    <t>XSARWF35</t>
  </si>
  <si>
    <t>RG-XSARWF07</t>
  </si>
  <si>
    <t>RG-XSARWF36</t>
  </si>
  <si>
    <t>XSARWF07</t>
  </si>
  <si>
    <t>RG-XSARWF37</t>
  </si>
  <si>
    <t>RG-XSARWF08</t>
  </si>
  <si>
    <t>XSARWF08</t>
  </si>
  <si>
    <t>RG-XSAPB101</t>
  </si>
  <si>
    <t>XSAPB101</t>
  </si>
  <si>
    <t>RG-XSAPBA02</t>
  </si>
  <si>
    <t>XSAPBA02</t>
  </si>
  <si>
    <t>RG-XSAPBA01</t>
  </si>
  <si>
    <t>XSAPBA01</t>
  </si>
  <si>
    <t>RG-XSAPBB01</t>
  </si>
  <si>
    <t>XSAPBB01</t>
  </si>
  <si>
    <t>RG-XSAPPB01</t>
  </si>
  <si>
    <t>XSAPPB01</t>
  </si>
  <si>
    <t>RG-XSAQM101</t>
  </si>
  <si>
    <t>XSAQM101</t>
  </si>
  <si>
    <t>RG-XSAQM201</t>
  </si>
  <si>
    <t>XSAQM201</t>
  </si>
  <si>
    <t>RG-XSAQBA01</t>
  </si>
  <si>
    <t>XSAQBA01</t>
  </si>
  <si>
    <t>RG-XSAQBA02</t>
  </si>
  <si>
    <t>BM  Horizontal</t>
  </si>
  <si>
    <t>XSAQBA02</t>
  </si>
  <si>
    <t>RG-XSAQBB01</t>
  </si>
  <si>
    <t>XSAQBB01</t>
  </si>
  <si>
    <t>RG-XUBRWA03</t>
  </si>
  <si>
    <t>UL.BIRCH</t>
  </si>
  <si>
    <t>RG-XUBRWA01</t>
  </si>
  <si>
    <t>RG-XUBRWA02</t>
  </si>
  <si>
    <t>RG-XASPB101</t>
  </si>
  <si>
    <t>W.ASH</t>
  </si>
  <si>
    <t>XASPB101</t>
  </si>
  <si>
    <t>RG-XASPM101</t>
  </si>
  <si>
    <t>XASPM101</t>
  </si>
  <si>
    <t>RG-XASPM201</t>
  </si>
  <si>
    <t>XASPM201</t>
  </si>
  <si>
    <t>RG-XASPBA01</t>
  </si>
  <si>
    <t>XASPBA01</t>
  </si>
  <si>
    <t>RG-XASPBB01</t>
  </si>
  <si>
    <t>RG-XASRM201</t>
  </si>
  <si>
    <t>XASRM201</t>
  </si>
  <si>
    <t>RG-XASRM202</t>
  </si>
  <si>
    <t>XASRM202</t>
  </si>
  <si>
    <t>RG-XASRWB02</t>
  </si>
  <si>
    <t>B UFP</t>
  </si>
  <si>
    <t>XASRWB02</t>
  </si>
  <si>
    <t>RG-XWBRW301</t>
  </si>
  <si>
    <t>W.BIRCH</t>
  </si>
  <si>
    <t>#3 Sound</t>
  </si>
  <si>
    <t>XWBRW301</t>
  </si>
  <si>
    <t>RG-XWBRW101</t>
  </si>
  <si>
    <t>RG-XWBRM201</t>
  </si>
  <si>
    <t>XWBRM201</t>
  </si>
  <si>
    <t>RG-XWBRS201</t>
  </si>
  <si>
    <t>XWBRS201</t>
  </si>
  <si>
    <t>RG-XWBRW201</t>
  </si>
  <si>
    <t>RG-XWBRW204</t>
  </si>
  <si>
    <t>XWBRW204</t>
  </si>
  <si>
    <t>RG-XWBRWA01</t>
  </si>
  <si>
    <t>XWBRWA01</t>
  </si>
  <si>
    <t>RG-XWBRWB01</t>
  </si>
  <si>
    <t>RG-XWBRWC01</t>
  </si>
  <si>
    <t>RG-XWBRWC02</t>
  </si>
  <si>
    <t>XWBRWC02</t>
  </si>
  <si>
    <t>RG-XWBRWC03</t>
  </si>
  <si>
    <t>XWBRWC03</t>
  </si>
  <si>
    <t>RG-XWBRWD01</t>
  </si>
  <si>
    <t>RG-XWBRWD06</t>
  </si>
  <si>
    <t>D UV</t>
  </si>
  <si>
    <t>RG-XWBRWD02</t>
  </si>
  <si>
    <t>D+</t>
  </si>
  <si>
    <t>RG-XWBRWD04</t>
  </si>
  <si>
    <t>XWBRWD02</t>
  </si>
  <si>
    <t>RG-XWBRWD05</t>
  </si>
  <si>
    <t>D+ UV</t>
  </si>
  <si>
    <t>RG-XWBRWE01</t>
  </si>
  <si>
    <t>RG-XWBPBA07</t>
  </si>
  <si>
    <t>RG-XWBPBA01</t>
  </si>
  <si>
    <t>RG-XWBPBA02</t>
  </si>
  <si>
    <t>RG-XWBPBA03</t>
  </si>
  <si>
    <t>RG-XWBPBA08</t>
  </si>
  <si>
    <t>RG-XWBPBA04</t>
  </si>
  <si>
    <t>BM Center Balanced</t>
  </si>
  <si>
    <t>XWBPBA04</t>
  </si>
  <si>
    <t>RG-XWBPBA05</t>
  </si>
  <si>
    <t>XWBPBA05</t>
  </si>
  <si>
    <t>RG-XWBPBA06</t>
  </si>
  <si>
    <t>XWBPBA06</t>
  </si>
  <si>
    <t>RG-XWBPBP01</t>
  </si>
  <si>
    <t>Painting</t>
  </si>
  <si>
    <t>RG-XWBRM101</t>
  </si>
  <si>
    <t>XWBRM101</t>
  </si>
  <si>
    <t>RG-XWBRW105</t>
  </si>
  <si>
    <t>XWBRW105</t>
  </si>
  <si>
    <t>RG-XWBRWA03</t>
  </si>
  <si>
    <t>XWBRWA03</t>
  </si>
  <si>
    <t>RG-XWBRWB04</t>
  </si>
  <si>
    <t>XWBRWB04</t>
  </si>
  <si>
    <t>RG-XWBRWC04</t>
  </si>
  <si>
    <t>XWBRWC04</t>
  </si>
  <si>
    <t>RG-XWBRMD01</t>
  </si>
  <si>
    <t>XWBRMD01</t>
  </si>
  <si>
    <t>RG-XWBRWD03</t>
  </si>
  <si>
    <t>RG-XWBRWD07</t>
  </si>
  <si>
    <t>XWBRWD07</t>
  </si>
  <si>
    <t>RG-XWBRBA01</t>
  </si>
  <si>
    <t>RG-XWBRBA07</t>
  </si>
  <si>
    <t>RG-XWBRBA09</t>
  </si>
  <si>
    <t>RG-XWBRBA03</t>
  </si>
  <si>
    <t>RG-XWBRBA08</t>
  </si>
  <si>
    <t>RG-XWBRBA02</t>
  </si>
  <si>
    <t>RG-XWBRBA04</t>
  </si>
  <si>
    <t>RG-XWBRBA51</t>
  </si>
  <si>
    <t>XWBRBA51</t>
  </si>
  <si>
    <t>RG-XWBRBA10</t>
  </si>
  <si>
    <t>XWBRBA10</t>
  </si>
  <si>
    <t>RG-XWBRBA11</t>
  </si>
  <si>
    <t>XWBRBA11</t>
  </si>
  <si>
    <t>RG-XWBRWE02</t>
  </si>
  <si>
    <t>XWBRWE02</t>
  </si>
  <si>
    <t>RG-XWBRWE03</t>
  </si>
  <si>
    <t>XWBRWE03</t>
  </si>
  <si>
    <t>RG-XWBRWT01</t>
  </si>
  <si>
    <t>TONGHUO</t>
  </si>
  <si>
    <t>XWBRWT01</t>
  </si>
  <si>
    <t>RG-XWBRZA10</t>
  </si>
  <si>
    <t>XWBRZA10</t>
  </si>
  <si>
    <t>RG-XWMPBB01</t>
  </si>
  <si>
    <t>W.MAPLE</t>
  </si>
  <si>
    <t>XWMPBB01</t>
  </si>
  <si>
    <t>RG-XWMPSB02</t>
  </si>
  <si>
    <t>XWMPSB02</t>
  </si>
  <si>
    <t>RG-XWMPSC01</t>
  </si>
  <si>
    <t>XWMPSC01</t>
  </si>
  <si>
    <t>RG-XWMRW111</t>
  </si>
  <si>
    <t>XWMRW111</t>
  </si>
  <si>
    <t>RG-XWMRW101</t>
  </si>
  <si>
    <t>RG-XWMRW102</t>
  </si>
  <si>
    <t>RG-XWMRW129</t>
  </si>
  <si>
    <t>RG-XWMRZ109</t>
  </si>
  <si>
    <t>XWMRZ109</t>
  </si>
  <si>
    <t>RG-XWMRW105</t>
  </si>
  <si>
    <t>#1 ELK</t>
  </si>
  <si>
    <t>XWMRW105</t>
  </si>
  <si>
    <t>RG-XWMRW106</t>
  </si>
  <si>
    <t>#1 TX</t>
  </si>
  <si>
    <t>XWMRW106</t>
  </si>
  <si>
    <t>RG-XWMRS201</t>
  </si>
  <si>
    <t>XWMRS201</t>
  </si>
  <si>
    <t>RG-XWMRW201</t>
  </si>
  <si>
    <t>RG-XWMRW202</t>
  </si>
  <si>
    <t>RG-XWMRW203</t>
  </si>
  <si>
    <t>#2 70% white</t>
  </si>
  <si>
    <t>XWMRW203</t>
  </si>
  <si>
    <t>RG-XWMRW206</t>
  </si>
  <si>
    <t>#2 TX</t>
  </si>
  <si>
    <t>XWMRW206</t>
  </si>
  <si>
    <t>RG-XWMRW207</t>
  </si>
  <si>
    <t>XWMRW207</t>
  </si>
  <si>
    <t>RG-XWMRWA01</t>
  </si>
  <si>
    <t>RG-XWMRWB15</t>
  </si>
  <si>
    <t>XWMRWB15</t>
  </si>
  <si>
    <t>RG-XWMRWB01</t>
  </si>
  <si>
    <t>RG-XWMRWB04</t>
  </si>
  <si>
    <t>XWMRWB04</t>
  </si>
  <si>
    <t>RG-XWMRWB08</t>
  </si>
  <si>
    <t>RG-XWMRWB02</t>
  </si>
  <si>
    <t>RG-XWMRWB09</t>
  </si>
  <si>
    <t>XWMRWB02</t>
  </si>
  <si>
    <t>XWMRWB09</t>
  </si>
  <si>
    <t>RG-XWMRWB11</t>
  </si>
  <si>
    <t>B NO FIG ELK</t>
  </si>
  <si>
    <t>RG-XWMRWB12</t>
  </si>
  <si>
    <t>B NO FIG TX</t>
  </si>
  <si>
    <t>XWMRWB12</t>
  </si>
  <si>
    <t>RG-XWMRWB06</t>
  </si>
  <si>
    <t>XWMRWB06</t>
  </si>
  <si>
    <t>RG-XWMRWC01</t>
  </si>
  <si>
    <t>RG-XWMRWC02</t>
  </si>
  <si>
    <t>RG-XWMRWC09</t>
  </si>
  <si>
    <t>C ELK</t>
  </si>
  <si>
    <t>XWMRWC09</t>
  </si>
  <si>
    <t>RG-XWMRWC10</t>
  </si>
  <si>
    <t>C TX</t>
  </si>
  <si>
    <t>XWMRWC10</t>
  </si>
  <si>
    <t>RG-XWMRWC03</t>
  </si>
  <si>
    <t>C+</t>
  </si>
  <si>
    <t>RG-XWMRBA01</t>
  </si>
  <si>
    <t>RG-XWMRBA02</t>
  </si>
  <si>
    <t>RG-XWMRBA03</t>
  </si>
  <si>
    <t>XWMRBA01</t>
  </si>
  <si>
    <t>XWMRBA02</t>
  </si>
  <si>
    <t>XWMRBA03</t>
  </si>
  <si>
    <t>RG-XWMRBA04</t>
  </si>
  <si>
    <t>XWMRBA04</t>
  </si>
  <si>
    <t>RG-XWMRBA05</t>
  </si>
  <si>
    <t>XWMRBA05</t>
  </si>
  <si>
    <t>RG-XWMRWA02</t>
  </si>
  <si>
    <t>RG-XWMRWA03</t>
  </si>
  <si>
    <t>RG-XWMRWA04</t>
  </si>
  <si>
    <t>XWMRWA02</t>
  </si>
  <si>
    <t>XWMRWA03</t>
  </si>
  <si>
    <t>XWMRWA04</t>
  </si>
  <si>
    <t>RG-XWMRWA05</t>
  </si>
  <si>
    <t>XWMRWA05</t>
  </si>
  <si>
    <t>RG-XWMRWA06</t>
  </si>
  <si>
    <t>RG-XWMRWA07</t>
  </si>
  <si>
    <t>XWMRWA06</t>
  </si>
  <si>
    <t>XWMRWA07</t>
  </si>
  <si>
    <t>RG-XWMRWF01</t>
  </si>
  <si>
    <t>XWMRWF01</t>
  </si>
  <si>
    <t>RG-XWMRWF02</t>
  </si>
  <si>
    <t>XWMRWF02</t>
  </si>
  <si>
    <t>RG-XWMZZ401</t>
  </si>
  <si>
    <t>XWMZZ401</t>
  </si>
  <si>
    <t>RG-XWMRWC08</t>
  </si>
  <si>
    <t>XWMRWC08</t>
  </si>
  <si>
    <t>RG-XWMRW209</t>
  </si>
  <si>
    <t>XWMRW209</t>
  </si>
  <si>
    <t>RG-XWMRWB07</t>
  </si>
  <si>
    <t>XWMRWB07</t>
  </si>
  <si>
    <t>RG-XWMRWG01</t>
  </si>
  <si>
    <t>Log</t>
  </si>
  <si>
    <t>RG-XWMRWG10</t>
  </si>
  <si>
    <t>LOG</t>
  </si>
  <si>
    <t>XWMRWG01</t>
  </si>
  <si>
    <t>XWMRWG10</t>
  </si>
  <si>
    <t>RG-XWMPB101</t>
  </si>
  <si>
    <t>RG-XWMPB102</t>
  </si>
  <si>
    <t>XWMPB102</t>
  </si>
  <si>
    <t>RG-XWMPM102</t>
  </si>
  <si>
    <t>XWMPM102</t>
  </si>
  <si>
    <t>RG-XWMPM105</t>
  </si>
  <si>
    <t>XWMPM105</t>
  </si>
  <si>
    <t>RG-XWMPM101</t>
  </si>
  <si>
    <t>XWMPM101</t>
  </si>
  <si>
    <t>RG-XWMPM103</t>
  </si>
  <si>
    <t>RG-XWMPM104</t>
  </si>
  <si>
    <t>XWMPM104</t>
  </si>
  <si>
    <t>RG-XWMPS101</t>
  </si>
  <si>
    <t>XWMPS101</t>
  </si>
  <si>
    <t>RG-XWMPB201</t>
  </si>
  <si>
    <t>XWMPB201</t>
  </si>
  <si>
    <t>RG-XWMPM202</t>
  </si>
  <si>
    <t>XWMPM202</t>
  </si>
  <si>
    <t>RG-XWMPM201</t>
  </si>
  <si>
    <t>RG-XWMPS201</t>
  </si>
  <si>
    <t>XWMPS201</t>
  </si>
  <si>
    <t>RG-XWMPBA11</t>
  </si>
  <si>
    <t>RG-XWMPBA04</t>
  </si>
  <si>
    <t>RG-XWMPBA14</t>
  </si>
  <si>
    <t>XWMPBA14</t>
  </si>
  <si>
    <t>RG-XWMPBB04</t>
  </si>
  <si>
    <t>XWMPBB04</t>
  </si>
  <si>
    <t>RG-XWMPBB02</t>
  </si>
  <si>
    <t>RG-XWMPBB03</t>
  </si>
  <si>
    <t>XWMPBB03</t>
  </si>
  <si>
    <t>RG-XWMPMB01</t>
  </si>
  <si>
    <t>XWMPMB01</t>
  </si>
  <si>
    <t>RG-XWMPSB01</t>
  </si>
  <si>
    <t>XWMPSB01</t>
  </si>
  <si>
    <t>RG-XWMPBC01</t>
  </si>
  <si>
    <t>XWMPBC01</t>
  </si>
  <si>
    <t>RG-XWMPBA07</t>
  </si>
  <si>
    <t>RG-XWMPBA01</t>
  </si>
  <si>
    <t>RG-XWMPBA12</t>
  </si>
  <si>
    <t>RG-XWMPBA02</t>
  </si>
  <si>
    <t>RG-XWMPBA03</t>
  </si>
  <si>
    <t>RG-XWMPBA05</t>
  </si>
  <si>
    <t>RG-XWMPBA06</t>
  </si>
  <si>
    <t>RG-XWMPBA51</t>
  </si>
  <si>
    <t>XWMPBA51</t>
  </si>
  <si>
    <t>RG-XWMPBA09</t>
  </si>
  <si>
    <t>XWMPBA09</t>
  </si>
  <si>
    <t>RG-XWMPBA10</t>
  </si>
  <si>
    <t>RG-XWMPBA13</t>
  </si>
  <si>
    <t>BM Pair Mat</t>
  </si>
  <si>
    <t>RG-XWMPBA08</t>
  </si>
  <si>
    <t>XWMPBA08</t>
  </si>
  <si>
    <t>RG-XWMPBP01</t>
  </si>
  <si>
    <t>XWMPBP01</t>
  </si>
  <si>
    <t>RG-XWMQBA02</t>
  </si>
  <si>
    <t>RG-XWMQBA01</t>
  </si>
  <si>
    <t>RG-XWMQBA03</t>
  </si>
  <si>
    <t>预留位</t>
  </si>
  <si>
    <t>XWMQBA03</t>
  </si>
  <si>
    <t>RG-XWMRB101</t>
  </si>
  <si>
    <t>XWMRB101</t>
  </si>
  <si>
    <t>RG-XWMRM101</t>
  </si>
  <si>
    <t>XWMRM101</t>
  </si>
  <si>
    <t>RG-XWMRM109</t>
  </si>
  <si>
    <t>XWMRM109</t>
  </si>
  <si>
    <t>RG-XWMRM102</t>
  </si>
  <si>
    <t>XWMRM102</t>
  </si>
  <si>
    <t>RG-XWMRM103</t>
  </si>
  <si>
    <t>XWMRM103</t>
  </si>
  <si>
    <t>RG-XWMRM104</t>
  </si>
  <si>
    <t>XWMRM104</t>
  </si>
  <si>
    <t>RG-XWMRS101</t>
  </si>
  <si>
    <t>XWMRS101</t>
  </si>
  <si>
    <t>RG-XWMRS102</t>
  </si>
  <si>
    <t>XWMRS102</t>
  </si>
  <si>
    <t>RG-XWMRW103</t>
  </si>
  <si>
    <t>RG-XWMRW104</t>
  </si>
  <si>
    <t>XWMRW103</t>
  </si>
  <si>
    <t>RG-XWMRW107</t>
  </si>
  <si>
    <t>RG-XWMRM204</t>
  </si>
  <si>
    <t>XWMRM204</t>
  </si>
  <si>
    <t>RG-XWMRW204</t>
  </si>
  <si>
    <t>XWMRW204</t>
  </si>
  <si>
    <t>RG-XWMRW214</t>
  </si>
  <si>
    <t>XWMRW214</t>
  </si>
  <si>
    <t>RG-XWMRM201</t>
  </si>
  <si>
    <t>XWMRM201</t>
  </si>
  <si>
    <t>RG-XWMRM301</t>
  </si>
  <si>
    <t>XWMRM301</t>
  </si>
  <si>
    <t>RG-XWMRM401</t>
  </si>
  <si>
    <t>XWMRM401</t>
  </si>
  <si>
    <t>RG-XWMRSA01</t>
  </si>
  <si>
    <t>XWMRSA01</t>
  </si>
  <si>
    <t>RG-XWMRWA22</t>
  </si>
  <si>
    <t>XWMRWA22</t>
  </si>
  <si>
    <t>RG-XWMRWA08</t>
  </si>
  <si>
    <t>XWMRWA08</t>
  </si>
  <si>
    <t>RG-XWMRBB01</t>
  </si>
  <si>
    <t>XWMRBB01</t>
  </si>
  <si>
    <t>RG-XWMRSB01</t>
  </si>
  <si>
    <t>XWMRSB01</t>
  </si>
  <si>
    <t>RG-XWMRSB02</t>
  </si>
  <si>
    <t>XWMRSB02</t>
  </si>
  <si>
    <t>RG-XWMRSB03</t>
  </si>
  <si>
    <t>XWMRSB03</t>
  </si>
  <si>
    <t>RG-XWMRWB03</t>
  </si>
  <si>
    <t>RG-XWMRWB05</t>
  </si>
  <si>
    <t>XWMRWB03</t>
  </si>
  <si>
    <t>RG-XWMRWB14</t>
  </si>
  <si>
    <t>RG-XWMRBC01</t>
  </si>
  <si>
    <t>XWMRBC01</t>
  </si>
  <si>
    <t>RG-XWMRMC01</t>
  </si>
  <si>
    <t>XWMRMC01</t>
  </si>
  <si>
    <t>RG-XWMRSC01</t>
  </si>
  <si>
    <t>XWMRSC01</t>
  </si>
  <si>
    <t>RG-XWMRWC04</t>
  </si>
  <si>
    <t>XWMRWC04</t>
  </si>
  <si>
    <t>RG-XWMRWC12</t>
  </si>
  <si>
    <t>C UV</t>
  </si>
  <si>
    <t>XWMRWC12</t>
  </si>
  <si>
    <t>RG-XWMRZW01</t>
  </si>
  <si>
    <t>XWMRZW01</t>
  </si>
  <si>
    <t>RG-XWMZZK01</t>
  </si>
  <si>
    <t>KMA</t>
  </si>
  <si>
    <t>XWMZZK01</t>
  </si>
  <si>
    <t>RG-XWMZZP01</t>
  </si>
  <si>
    <t>PLEASING</t>
  </si>
  <si>
    <t>XWMZZP01</t>
  </si>
  <si>
    <t>RG-XWMRWB10</t>
  </si>
  <si>
    <t>XWMRWB10</t>
  </si>
  <si>
    <t>RG-XWMRWC06</t>
  </si>
  <si>
    <t>XWMRWC06</t>
  </si>
  <si>
    <t>RG-XWMRW205</t>
  </si>
  <si>
    <t>RG-XWMRW210</t>
  </si>
  <si>
    <t>XWMRW205</t>
  </si>
  <si>
    <t>XWMRW210</t>
  </si>
  <si>
    <t>RG-XWMRWB13</t>
  </si>
  <si>
    <t>XWMRWB13</t>
  </si>
  <si>
    <t>RG-XWMRWC11</t>
  </si>
  <si>
    <t>XWMRWC11</t>
  </si>
  <si>
    <t>RG-XWOPBB02</t>
  </si>
  <si>
    <t>W.OAK</t>
  </si>
  <si>
    <t>XWOPBB02</t>
  </si>
  <si>
    <t>RG-XWOFZW03</t>
  </si>
  <si>
    <t>XWOFZW07</t>
  </si>
  <si>
    <t>XWOFBA16</t>
  </si>
  <si>
    <t>RG-XWOFBA16</t>
  </si>
  <si>
    <t>XWOPBA18</t>
  </si>
  <si>
    <t>RG-XWOPBA18</t>
  </si>
  <si>
    <t>XWOPBA19</t>
  </si>
  <si>
    <t>RG-XWOPBA19</t>
  </si>
  <si>
    <t>XWOPBA20</t>
  </si>
  <si>
    <t>RG-XWOPBA20</t>
  </si>
  <si>
    <t>XWOPBC05</t>
  </si>
  <si>
    <t>RG-XWOPBC05</t>
  </si>
  <si>
    <t>XWOFSA22</t>
  </si>
  <si>
    <t>RG-XWOFSA22</t>
  </si>
  <si>
    <t>XWOFSB03</t>
  </si>
  <si>
    <t>RG-XWOFSB03</t>
  </si>
  <si>
    <t>XWOFSC04</t>
  </si>
  <si>
    <t>RG-XWOFSC04</t>
  </si>
  <si>
    <t>XWOFM105</t>
  </si>
  <si>
    <t>RG-XWOFM105</t>
  </si>
  <si>
    <t>XWOFM201</t>
  </si>
  <si>
    <t>RG-XWOFM201</t>
  </si>
  <si>
    <t>XWOFSA23</t>
  </si>
  <si>
    <t>RG-XWOFSA23</t>
  </si>
  <si>
    <t>XWOFSB04</t>
  </si>
  <si>
    <t>RG-XWOFSB04</t>
  </si>
  <si>
    <t>XWOFSC05</t>
  </si>
  <si>
    <t>RG-XWOFSC05</t>
  </si>
  <si>
    <t>XWOFS104</t>
  </si>
  <si>
    <t>RG-XWOFS104</t>
  </si>
  <si>
    <t>XWOFM202</t>
  </si>
  <si>
    <t>RG-XWOFM202</t>
  </si>
  <si>
    <t>XWOFBA21</t>
  </si>
  <si>
    <t>RG-XWOFBA21</t>
  </si>
  <si>
    <t>XWOPBB04</t>
  </si>
  <si>
    <t>RG-XWOPBB04</t>
  </si>
  <si>
    <t>XWOPM104</t>
  </si>
  <si>
    <t>RG-XWOPM104</t>
  </si>
  <si>
    <t>XWOPB103</t>
  </si>
  <si>
    <t>RG-XWOPB103</t>
  </si>
  <si>
    <t>XWOPBA17</t>
  </si>
  <si>
    <t>RG-XWOPBA17</t>
  </si>
  <si>
    <t>XWOPBB05</t>
  </si>
  <si>
    <t>RG-XWOPBB05</t>
  </si>
  <si>
    <t>RG-XWOPB101</t>
  </si>
  <si>
    <t>XWOPB101</t>
  </si>
  <si>
    <t>RG-XWOPB102</t>
  </si>
  <si>
    <t>XWOPB102</t>
  </si>
  <si>
    <t>RG-XWOPM103</t>
  </si>
  <si>
    <t>XWOPM103</t>
  </si>
  <si>
    <t>RG-XWOPM102</t>
  </si>
  <si>
    <t>XWOPM102</t>
  </si>
  <si>
    <t>RG-XWOPP101</t>
  </si>
  <si>
    <t>XWOPP101</t>
  </si>
  <si>
    <t>RG-XWOPB202</t>
  </si>
  <si>
    <t>XWOPB202</t>
  </si>
  <si>
    <t>RG-XWOPB203</t>
  </si>
  <si>
    <t>XWOPB203</t>
  </si>
  <si>
    <t>KWOPZ201</t>
  </si>
  <si>
    <t>RG-KWOPZ201</t>
  </si>
  <si>
    <t>RG-XWOPM401</t>
  </si>
  <si>
    <t>XWOPM401</t>
  </si>
  <si>
    <t>KWOPBA07</t>
  </si>
  <si>
    <t>KWOPBA08</t>
  </si>
  <si>
    <t>RG-XWOPBA08</t>
  </si>
  <si>
    <t>XWOPBA08</t>
  </si>
  <si>
    <t>RG-XWOPBA01</t>
  </si>
  <si>
    <t>RG-XWOPBA11</t>
  </si>
  <si>
    <t>XWOPBA11</t>
  </si>
  <si>
    <t>RG-XWOPBA09</t>
  </si>
  <si>
    <t>XWOPBA09</t>
  </si>
  <si>
    <t>RG-XWOPBA12</t>
  </si>
  <si>
    <t>XWOPBA12</t>
  </si>
  <si>
    <t>RG-XWOPBA10</t>
  </si>
  <si>
    <t>RG-XWOPPA01</t>
  </si>
  <si>
    <t>RG-XWOPPA08</t>
  </si>
  <si>
    <t>XWOPPA01</t>
  </si>
  <si>
    <t>XWOPPA08</t>
  </si>
  <si>
    <t>RG-XWOPPA02</t>
  </si>
  <si>
    <t>XWOPPA02</t>
  </si>
  <si>
    <t>KWOPPA01</t>
  </si>
  <si>
    <t>A Plank Eventone</t>
  </si>
  <si>
    <t>RG-XWOPBA02</t>
  </si>
  <si>
    <t>KWOPBA06</t>
  </si>
  <si>
    <t>RG-XWOPBA07</t>
  </si>
  <si>
    <t>XWOPBA07</t>
  </si>
  <si>
    <t>RG-XWOPBA15</t>
  </si>
  <si>
    <t>XWOPBA15</t>
  </si>
  <si>
    <t>RG-XWOPBB01</t>
  </si>
  <si>
    <t>RG-XWOPBB03</t>
  </si>
  <si>
    <t>RG-XWOPPB01</t>
  </si>
  <si>
    <t>RG-XWOPPB02</t>
  </si>
  <si>
    <t>XWOPPB02</t>
  </si>
  <si>
    <t>RG-XWOPBC01</t>
  </si>
  <si>
    <t>RG-XWOPBK01</t>
  </si>
  <si>
    <t>XWOPBK01</t>
  </si>
  <si>
    <t>RG-XWOPBC02</t>
  </si>
  <si>
    <t>RG-XWOPPC01</t>
  </si>
  <si>
    <t>XWOPPC01</t>
  </si>
  <si>
    <t>RG-XWOPBA04</t>
  </si>
  <si>
    <t>RG-XWOPBA03</t>
  </si>
  <si>
    <t>RG-XWOPBA05</t>
  </si>
  <si>
    <t>RG-XWOPBA06</t>
  </si>
  <si>
    <t>RG-XWOPPR01</t>
  </si>
  <si>
    <t>RG-XWOPPR02</t>
  </si>
  <si>
    <t>XWOPPR01</t>
  </si>
  <si>
    <t>XWOPPR02</t>
  </si>
  <si>
    <t>KWOPZS01</t>
  </si>
  <si>
    <t>RG-XWOPZW01</t>
  </si>
  <si>
    <t>RG-XWOPZW02</t>
  </si>
  <si>
    <t>RG-XWOQM101</t>
  </si>
  <si>
    <t>RG-XWOQM109</t>
  </si>
  <si>
    <t>RG-XWOQS102</t>
  </si>
  <si>
    <t>SM Horizontal</t>
  </si>
  <si>
    <t>XWOQS102</t>
  </si>
  <si>
    <t>RG-XWOQM102</t>
  </si>
  <si>
    <t>#1 RE/NEW</t>
  </si>
  <si>
    <t>XWOQM102</t>
  </si>
  <si>
    <t>RG-XWOQM201</t>
  </si>
  <si>
    <t>RG-XWOQBA11</t>
  </si>
  <si>
    <t>XWOQBA11</t>
  </si>
  <si>
    <t>RG-XWOQSK01</t>
  </si>
  <si>
    <t>XWOQSK01</t>
  </si>
  <si>
    <t>RG-XWOFB102</t>
  </si>
  <si>
    <t>XWOFB102</t>
  </si>
  <si>
    <t>RG-XWOFB101</t>
  </si>
  <si>
    <t>XWOFB101</t>
  </si>
  <si>
    <t>RG-XWOFM104</t>
  </si>
  <si>
    <t>XWOFM104</t>
  </si>
  <si>
    <t>RG-XWOFM102</t>
  </si>
  <si>
    <t>RG-XWOFM103</t>
  </si>
  <si>
    <t>XWOFM103</t>
  </si>
  <si>
    <t>RG-XWOFS103</t>
  </si>
  <si>
    <t>XWOFS103</t>
  </si>
  <si>
    <t>RG-XWOFS101</t>
  </si>
  <si>
    <t>XWOFS101</t>
  </si>
  <si>
    <t>RG-XWOFS102</t>
  </si>
  <si>
    <t>XWOFS102</t>
  </si>
  <si>
    <t>RG-XWOFB203</t>
  </si>
  <si>
    <t>XWOFB203</t>
  </si>
  <si>
    <t>RG-XWOFB202</t>
  </si>
  <si>
    <t>XWOFB202</t>
  </si>
  <si>
    <t>XWOFM206</t>
  </si>
  <si>
    <t>RG-XWOFS201</t>
  </si>
  <si>
    <t>XWOFS201</t>
  </si>
  <si>
    <t>KWOFBA05</t>
  </si>
  <si>
    <t>KWOFBA07</t>
  </si>
  <si>
    <t>RG-XWOFBA07</t>
  </si>
  <si>
    <t>XWOFBA07</t>
  </si>
  <si>
    <t>RG-XWOFBA12</t>
  </si>
  <si>
    <t>XWOFBA12</t>
  </si>
  <si>
    <t>RG-XWOFBA13</t>
  </si>
  <si>
    <t>XWOFBA13</t>
  </si>
  <si>
    <t>RG-XWOFBA10</t>
  </si>
  <si>
    <t>XWOFBA10</t>
  </si>
  <si>
    <t>RG-XWOFBA09</t>
  </si>
  <si>
    <t>RG-XWOFBA11</t>
  </si>
  <si>
    <t>XWOFBA09</t>
  </si>
  <si>
    <t>XWOFBA11</t>
  </si>
  <si>
    <t>RG-XWOFBA08</t>
  </si>
  <si>
    <t>RG-XWOFPA01</t>
  </si>
  <si>
    <t>RG-XWOFPA02</t>
  </si>
  <si>
    <t>XWOFPA02</t>
  </si>
  <si>
    <t>KWOFSA05</t>
  </si>
  <si>
    <t>KWOFSA06</t>
  </si>
  <si>
    <t>RG-XWOFSA11</t>
  </si>
  <si>
    <t>XWOFSA11</t>
  </si>
  <si>
    <t>RG-XWOFSA07</t>
  </si>
  <si>
    <t>RG-XWOFSA08</t>
  </si>
  <si>
    <t>RG-XWOFSA10</t>
  </si>
  <si>
    <t>XWOFSA08</t>
  </si>
  <si>
    <t>XWOFSA10</t>
  </si>
  <si>
    <t>RG-XWOFSA02</t>
  </si>
  <si>
    <t>XWOFSA02</t>
  </si>
  <si>
    <t>KWOFPA01</t>
  </si>
  <si>
    <t>KWOFSA04</t>
  </si>
  <si>
    <t>A Premium SEQ3+</t>
  </si>
  <si>
    <t>RG-KWOFSA04</t>
  </si>
  <si>
    <t>RG-XWOFSA12</t>
  </si>
  <si>
    <t>RG-XWOFSA13</t>
  </si>
  <si>
    <t>RG-XWOFBA06</t>
  </si>
  <si>
    <t>A WHEAT</t>
  </si>
  <si>
    <t>XWOFBA06</t>
  </si>
  <si>
    <t>RG-XWOFSA06</t>
  </si>
  <si>
    <t>A+</t>
  </si>
  <si>
    <t>XWOFSA17</t>
  </si>
  <si>
    <t>RG-XWOFSA16</t>
  </si>
  <si>
    <t>XWOFSA16</t>
  </si>
  <si>
    <t>KWOFBA06</t>
  </si>
  <si>
    <t>RG-XWOFSA19</t>
  </si>
  <si>
    <t>XWOFSA19</t>
  </si>
  <si>
    <t>RG-XWOFSA09</t>
  </si>
  <si>
    <t>XWOFSA09</t>
  </si>
  <si>
    <t>RG-XWOFPB01</t>
  </si>
  <si>
    <t>XWOFPB01</t>
  </si>
  <si>
    <t>KWOFSB01</t>
  </si>
  <si>
    <t>RG-XWOFSB02</t>
  </si>
  <si>
    <t>XWOFSB02</t>
  </si>
  <si>
    <t>RG-XWOFBB02</t>
  </si>
  <si>
    <t>B+</t>
  </si>
  <si>
    <t>XWOFBB02</t>
  </si>
  <si>
    <t>RG-XWOFSC03</t>
  </si>
  <si>
    <t>XWOFSC03</t>
  </si>
  <si>
    <t>RG-XWOFSC02</t>
  </si>
  <si>
    <t>RG-XWOFBA04</t>
  </si>
  <si>
    <t>RG-XWOFBA03</t>
  </si>
  <si>
    <t>RG-XWOFBA05</t>
  </si>
  <si>
    <t>RG-XWOFBA02</t>
  </si>
  <si>
    <t>RG-XWOFBA51</t>
  </si>
  <si>
    <t>XWOFBA02</t>
  </si>
  <si>
    <t>RG-XWOFSA04</t>
  </si>
  <si>
    <t>RG-XWOFSA05</t>
  </si>
  <si>
    <t>KWOFSS01</t>
  </si>
  <si>
    <t>SOUND</t>
  </si>
  <si>
    <t>KWOFZS02</t>
  </si>
  <si>
    <t>KWOFZS01</t>
  </si>
  <si>
    <t>RG-XWOFZW01</t>
  </si>
  <si>
    <t>RG-XWOFZW02</t>
  </si>
  <si>
    <t>XWOPBC03</t>
  </si>
  <si>
    <t>RG-XWOPBC03</t>
  </si>
  <si>
    <t>XWOPBC04</t>
  </si>
  <si>
    <t>RG-XWOPBC04</t>
  </si>
  <si>
    <t>XWOPM204</t>
  </si>
  <si>
    <t>RG-XWOPM204</t>
  </si>
  <si>
    <t>XWOFM106</t>
  </si>
  <si>
    <t>RG-XWOFM106</t>
  </si>
  <si>
    <t>XWOPM105</t>
  </si>
  <si>
    <t xml:space="preserve">PC </t>
  </si>
  <si>
    <t>RG-XWOPM105</t>
  </si>
  <si>
    <t>XWOPM202</t>
  </si>
  <si>
    <t>RG-XWOPM202</t>
  </si>
  <si>
    <t>RG-XWOPZA10</t>
  </si>
  <si>
    <t>XWOPZA10</t>
  </si>
  <si>
    <t>RG-XWAPBB02</t>
  </si>
  <si>
    <t>WALNUT</t>
  </si>
  <si>
    <t>XWAPBB02</t>
  </si>
  <si>
    <t>RG-XWAPB202</t>
  </si>
  <si>
    <t>XWAPB202</t>
  </si>
  <si>
    <t>RG-XWAPB101</t>
  </si>
  <si>
    <t>RG-XWAPM101</t>
  </si>
  <si>
    <t>RG-XWAPM109</t>
  </si>
  <si>
    <t>XWAPM109</t>
  </si>
  <si>
    <t>RG-XWAPM102</t>
  </si>
  <si>
    <t>XWAPM102</t>
  </si>
  <si>
    <t>RG-XWAPP101</t>
  </si>
  <si>
    <t>XWAPP101</t>
  </si>
  <si>
    <t>RG-XWAPB201</t>
  </si>
  <si>
    <t>RG-XWAPB203</t>
  </si>
  <si>
    <t>XWAPB203</t>
  </si>
  <si>
    <t>RG-XWAPM201</t>
  </si>
  <si>
    <t>XWAPM201</t>
  </si>
  <si>
    <t>RG-XWAPBA12</t>
  </si>
  <si>
    <t>XWAPBA12</t>
  </si>
  <si>
    <t>RG-XWAPBA01</t>
  </si>
  <si>
    <t>RG-XWAPBA16</t>
  </si>
  <si>
    <t>XWAPBA16</t>
  </si>
  <si>
    <t>RG-XWAPBA08</t>
  </si>
  <si>
    <t>XWAPBA08</t>
  </si>
  <si>
    <t>RG-XWAPBA15</t>
  </si>
  <si>
    <t>XWAPBA15</t>
  </si>
  <si>
    <t>RG-XWAPBA07</t>
  </si>
  <si>
    <t>XWAPBA07</t>
  </si>
  <si>
    <t>RG-XWAPPA01</t>
  </si>
  <si>
    <t>RG-XWAPPA02</t>
  </si>
  <si>
    <t>XWAPPA01</t>
  </si>
  <si>
    <t>XWAPPA02</t>
  </si>
  <si>
    <t>KWAPPA01</t>
  </si>
  <si>
    <t>RG-XWAPBA09</t>
  </si>
  <si>
    <t>A RE/NEW</t>
  </si>
  <si>
    <t>XWAPBA09</t>
  </si>
  <si>
    <t>RG-XWAPBA02</t>
  </si>
  <si>
    <t>RG-XWAPBA06</t>
  </si>
  <si>
    <t>XWAPBA06</t>
  </si>
  <si>
    <t>RG-XWAPBB01</t>
  </si>
  <si>
    <t>RG-XWAPBB04</t>
  </si>
  <si>
    <t>XWAPBB04</t>
  </si>
  <si>
    <t>RG-XWAPPB01</t>
  </si>
  <si>
    <t>XWAPPB01</t>
  </si>
  <si>
    <t>RG-XWAPBB03</t>
  </si>
  <si>
    <t>B 5 INCH</t>
  </si>
  <si>
    <t>RG-XWAPBC01</t>
  </si>
  <si>
    <t>RG-XWAPBC02</t>
  </si>
  <si>
    <t>XWAPBC02</t>
  </si>
  <si>
    <t>RG-XWAPPC01</t>
  </si>
  <si>
    <t>C RUSTIC</t>
  </si>
  <si>
    <t>XWAPPC01</t>
  </si>
  <si>
    <t>RG-XWAPBA03</t>
  </si>
  <si>
    <t>RG-XWAPBA04</t>
  </si>
  <si>
    <t>RG-XWAPBA05</t>
  </si>
  <si>
    <t>RG-XWAPBA10</t>
  </si>
  <si>
    <t>RG-XWAPBA11</t>
  </si>
  <si>
    <t>RG-XWAPBA13</t>
  </si>
  <si>
    <t>XWAPBA11</t>
  </si>
  <si>
    <t>RG-XWAPBA14</t>
  </si>
  <si>
    <t>RG-XWAPMR01</t>
  </si>
  <si>
    <t>XWAPMR01</t>
  </si>
  <si>
    <t>KWAPZS01</t>
  </si>
  <si>
    <t>XWAPZW03</t>
  </si>
  <si>
    <t>RG-XWAPZW01</t>
  </si>
  <si>
    <t>RG-XWAPZW02</t>
  </si>
  <si>
    <t>XWAPZW01</t>
  </si>
  <si>
    <t>XWAPZW02</t>
  </si>
  <si>
    <t>RG-XWAQB101</t>
  </si>
  <si>
    <t>XWAQB101</t>
  </si>
  <si>
    <t>RG-XWAQB201</t>
  </si>
  <si>
    <t>XWAQB201</t>
  </si>
  <si>
    <t>RG-XWAQBA01</t>
  </si>
  <si>
    <t>XWAQBA01</t>
  </si>
  <si>
    <t>RG-XWAQBB01</t>
  </si>
  <si>
    <t>XWAQBB01</t>
  </si>
  <si>
    <t>KWAQBS01</t>
  </si>
  <si>
    <t>SOUND Better No Sap</t>
  </si>
  <si>
    <t>XWOPZW10</t>
  </si>
  <si>
    <t>XWOFPA07</t>
  </si>
  <si>
    <t>XWOFPA08</t>
  </si>
  <si>
    <t>XWOPZW12</t>
  </si>
  <si>
    <t>RG-XWOPZW09</t>
  </si>
  <si>
    <t>RG-XWOPZW11</t>
  </si>
  <si>
    <t>RG-XWOPZW10</t>
  </si>
  <si>
    <t>RG-XWOFZW08</t>
  </si>
  <si>
    <t>RG-XWOFPA07</t>
  </si>
  <si>
    <t>RG-XWOFPA08</t>
  </si>
  <si>
    <t>RG-XWOFZW09</t>
  </si>
  <si>
    <t>RG-XWOPZW12</t>
  </si>
  <si>
    <t>XWAPBW01</t>
  </si>
  <si>
    <t>RG-XWOPBA21</t>
  </si>
  <si>
    <t>A-PRE-SQ&amp;N</t>
  </si>
  <si>
    <t>XWOPBA21</t>
  </si>
  <si>
    <t>RG-XWOPBA22</t>
  </si>
  <si>
    <t>A-HPVA</t>
  </si>
  <si>
    <t>XWOPBA22</t>
  </si>
  <si>
    <t>XWOPBA23</t>
  </si>
  <si>
    <t>RG-XWOPBA23</t>
  </si>
  <si>
    <t>Code
编码</t>
  </si>
  <si>
    <t>Species
树种</t>
  </si>
  <si>
    <t>V-THI
厚度</t>
  </si>
  <si>
    <t>Width
宽(mm)</t>
  </si>
  <si>
    <t>Length长(mm)</t>
  </si>
  <si>
    <t>F/B
面底</t>
  </si>
  <si>
    <t>Cut
纹理</t>
  </si>
  <si>
    <t>Grade
等级</t>
  </si>
  <si>
    <t>Mat.
拼接</t>
  </si>
  <si>
    <t>Unit
单位</t>
  </si>
  <si>
    <t>Name</t>
  </si>
  <si>
    <t>XWAPZA09</t>
  </si>
  <si>
    <t xml:space="preserve"> Walnut  </t>
  </si>
  <si>
    <t>P AA</t>
  </si>
  <si>
    <t>ALDER 0.5mm 1265x2520 Grade#1 Rustic PC PM</t>
  </si>
  <si>
    <t>XWAPZA10</t>
  </si>
  <si>
    <t>XWAPZJ02</t>
  </si>
  <si>
    <t>PT J8</t>
  </si>
  <si>
    <t>XWAPZJ01</t>
  </si>
  <si>
    <t>XBEPZB02</t>
  </si>
  <si>
    <t>Natural</t>
  </si>
  <si>
    <t>YCHPA801</t>
  </si>
  <si>
    <t>XCHPZA02</t>
  </si>
  <si>
    <t>2500+</t>
  </si>
  <si>
    <t>XCHPZC01</t>
  </si>
  <si>
    <t>2550+</t>
  </si>
  <si>
    <t>XCHPZC02</t>
  </si>
  <si>
    <t>XCHPZB02</t>
  </si>
  <si>
    <t>XCHPZC03</t>
  </si>
  <si>
    <t>XROPZA02</t>
  </si>
  <si>
    <t>1A</t>
  </si>
  <si>
    <t>XROPZA03</t>
  </si>
  <si>
    <t>2A</t>
  </si>
  <si>
    <t>YROPA802</t>
  </si>
  <si>
    <t>XROPZA04</t>
  </si>
  <si>
    <t>Panel A</t>
  </si>
  <si>
    <t>XRORZA01</t>
  </si>
  <si>
    <t>XROPZ201</t>
  </si>
  <si>
    <t>XROPZB01</t>
  </si>
  <si>
    <t>XROPZZ01</t>
  </si>
  <si>
    <t>XROPZ202</t>
  </si>
  <si>
    <t>XROPZA01</t>
  </si>
  <si>
    <t>XROPZB02</t>
  </si>
  <si>
    <t>YROPA801</t>
  </si>
  <si>
    <t>XROFZZ01</t>
  </si>
  <si>
    <t>2500/3500</t>
  </si>
  <si>
    <t>Rift</t>
  </si>
  <si>
    <t>XASPZB02</t>
  </si>
  <si>
    <t>XWBRZZ01</t>
  </si>
  <si>
    <t>2200/2500</t>
  </si>
  <si>
    <t>XWMRZ301</t>
  </si>
  <si>
    <t>#3 SPL</t>
  </si>
  <si>
    <t>XWMPZA31</t>
  </si>
  <si>
    <t>2250/2500</t>
  </si>
  <si>
    <t>XWMPZA32</t>
  </si>
  <si>
    <t>XWMPZB31</t>
  </si>
  <si>
    <t>Door B</t>
  </si>
  <si>
    <t>XWMPZA33</t>
  </si>
  <si>
    <t>2250/3050</t>
  </si>
  <si>
    <t>XWMPZA36</t>
  </si>
  <si>
    <t>Panel AA</t>
  </si>
  <si>
    <t>XWMPZA35</t>
  </si>
  <si>
    <t>Panel AB</t>
  </si>
  <si>
    <t>XWMPZB32</t>
  </si>
  <si>
    <t>Panel B</t>
  </si>
  <si>
    <t>XWOQZA02</t>
  </si>
  <si>
    <t>YWOFA803</t>
  </si>
  <si>
    <t>YWOFA804</t>
  </si>
  <si>
    <t>PAB</t>
  </si>
  <si>
    <t>XWOFZB03</t>
  </si>
  <si>
    <t>Panel  AB</t>
  </si>
  <si>
    <t>XWOFZA06</t>
  </si>
  <si>
    <t>XWOFZA05</t>
  </si>
  <si>
    <t xml:space="preserve">PB </t>
  </si>
  <si>
    <t>XWOFZA08</t>
  </si>
  <si>
    <t>XWOFZB05</t>
  </si>
  <si>
    <t>XWOPZ101</t>
  </si>
  <si>
    <t>XWOPZ203</t>
  </si>
  <si>
    <t>XWOPZB02</t>
  </si>
  <si>
    <t>XWOQZZ01</t>
  </si>
  <si>
    <t>XWOFZ203</t>
  </si>
  <si>
    <t>XWOFZB02</t>
  </si>
  <si>
    <t>XWOPZ202</t>
  </si>
  <si>
    <t>XWOPZA04</t>
  </si>
  <si>
    <t>XWOPZA03</t>
  </si>
  <si>
    <t>AAA</t>
  </si>
  <si>
    <t>XWOPZA11</t>
  </si>
  <si>
    <t>XWOPZB03</t>
  </si>
  <si>
    <t>XWOPZA02</t>
  </si>
  <si>
    <t>XWOPZA31</t>
  </si>
  <si>
    <t>XWOPZA32</t>
  </si>
  <si>
    <t>XWOPZA05</t>
  </si>
  <si>
    <t>XWOPZJ01</t>
  </si>
  <si>
    <t>XWOPZZ01</t>
  </si>
  <si>
    <t>XWOQZA04</t>
  </si>
  <si>
    <t>XWOQZA03</t>
  </si>
  <si>
    <t>XWOFZ101</t>
  </si>
  <si>
    <t>XWOFZ202</t>
  </si>
  <si>
    <t>XWOFZA02</t>
  </si>
  <si>
    <t>XWOFZA04</t>
  </si>
  <si>
    <t>XWOFZA07</t>
  </si>
  <si>
    <t>XWOFZA03</t>
  </si>
  <si>
    <t>XWOFZA12</t>
  </si>
  <si>
    <t>XWOFZJ03</t>
  </si>
  <si>
    <t>PAJ10</t>
  </si>
  <si>
    <t>XWOFZJ02</t>
  </si>
  <si>
    <t>PT J10</t>
  </si>
  <si>
    <t>XWOFZB04</t>
  </si>
  <si>
    <t xml:space="preserve">P B </t>
  </si>
  <si>
    <t>XWOFZJ01</t>
  </si>
  <si>
    <t>XWOFZZ01</t>
  </si>
  <si>
    <t>XWOZZD01</t>
  </si>
  <si>
    <t>DR</t>
  </si>
  <si>
    <t>XWOZZE01</t>
  </si>
  <si>
    <t>EE</t>
  </si>
  <si>
    <t>XWOZZ101</t>
  </si>
  <si>
    <t>P-10</t>
  </si>
  <si>
    <t>XWOZZA01</t>
  </si>
  <si>
    <t>P-AB</t>
  </si>
  <si>
    <t>XWAPZA04</t>
  </si>
  <si>
    <t>Walnut</t>
  </si>
  <si>
    <t>XWAPZZ01</t>
  </si>
  <si>
    <t>XWAPZ101</t>
  </si>
  <si>
    <t>XWAPZ202</t>
  </si>
  <si>
    <t>XWAPZA03</t>
  </si>
  <si>
    <t>XWAPZA02</t>
  </si>
  <si>
    <t>XROPZA07</t>
  </si>
  <si>
    <t>XCHPZA03</t>
  </si>
  <si>
    <t>XWMPZA01</t>
  </si>
  <si>
    <t>mat</t>
  </si>
  <si>
    <t>cut</t>
  </si>
  <si>
    <t>MMBE5001</t>
  </si>
  <si>
    <t>MMRO5001</t>
  </si>
  <si>
    <t>MMRO5002</t>
  </si>
  <si>
    <t>MMSA5001</t>
  </si>
  <si>
    <t>MMTE5001</t>
  </si>
  <si>
    <t>MMWA5001</t>
  </si>
  <si>
    <t>ME</t>
  </si>
  <si>
    <t>BF2N4001</t>
  </si>
  <si>
    <t>XBEPZB01</t>
  </si>
  <si>
    <t>XSAQZF01</t>
  </si>
  <si>
    <t>XTEQZF02</t>
  </si>
  <si>
    <t>XWAPZF01</t>
  </si>
  <si>
    <t xml:space="preserve">MDF 5*48*96 BEECH  PC BM   0.15  </t>
  </si>
  <si>
    <t xml:space="preserve">MDF 5*48*96 R.OAK PC BM 0.2  </t>
  </si>
  <si>
    <t xml:space="preserve">MDF 5*48*96 SAPELE QC  BM  0.13 </t>
  </si>
  <si>
    <t xml:space="preserve">MDF 5*48*96 R.OAK PC  SM  0.2  </t>
  </si>
  <si>
    <t xml:space="preserve">MDF 5*48*96 TEAK QC  Z  0.2 </t>
  </si>
  <si>
    <t>MDF 5*48*96 WALNUT PC BM 0.15</t>
  </si>
  <si>
    <t>UPM302603</t>
  </si>
  <si>
    <t>UPM303604</t>
  </si>
  <si>
    <t>UPM303607</t>
  </si>
  <si>
    <t>UPM303605</t>
  </si>
  <si>
    <t>SPM303703</t>
  </si>
  <si>
    <t>SPM303702</t>
  </si>
  <si>
    <t>SPM303701</t>
  </si>
  <si>
    <t>SPM302701</t>
  </si>
  <si>
    <t>SPM303801</t>
  </si>
  <si>
    <t>SPM302702</t>
  </si>
  <si>
    <t>SPM303704</t>
  </si>
  <si>
    <t>FG-CODE</t>
  </si>
  <si>
    <t>species</t>
  </si>
  <si>
    <t>Baseboard</t>
  </si>
  <si>
    <t>Thickness(mm)</t>
  </si>
  <si>
    <t>Width-Inch</t>
  </si>
  <si>
    <t>Length-Inch</t>
  </si>
  <si>
    <t>Width-mm</t>
  </si>
  <si>
    <t>Length-mm</t>
  </si>
  <si>
    <t>Unit</t>
  </si>
  <si>
    <t>GLUE</t>
  </si>
  <si>
    <t>SPM292701</t>
  </si>
  <si>
    <t>Standard Primed</t>
  </si>
  <si>
    <t>MDF</t>
  </si>
  <si>
    <t>CARB P2</t>
  </si>
  <si>
    <t>SPM292702</t>
  </si>
  <si>
    <t>SPM293704</t>
  </si>
  <si>
    <t>SPM293705</t>
  </si>
  <si>
    <t>SPM293701</t>
  </si>
  <si>
    <t>SPM293702</t>
  </si>
  <si>
    <t>SPM293801</t>
  </si>
  <si>
    <t>SPM294801</t>
  </si>
  <si>
    <t>paint g</t>
  </si>
  <si>
    <t>g/m2</t>
  </si>
  <si>
    <t>SPM303705</t>
  </si>
  <si>
    <t>SPM304801</t>
  </si>
  <si>
    <t xml:space="preserve">UV prime </t>
  </si>
  <si>
    <t>UPM303606</t>
  </si>
  <si>
    <t>UPM304801</t>
  </si>
  <si>
    <t>SPFX90001</t>
  </si>
  <si>
    <t>UV</t>
  </si>
  <si>
    <t>FG</t>
  </si>
  <si>
    <t>油油油</t>
  </si>
  <si>
    <t>SPM302801</t>
  </si>
  <si>
    <t>Platform MLH</t>
  </si>
  <si>
    <t>4WBXX9CU1</t>
  </si>
  <si>
    <t>W.BIRCH C UV/UV PRIMED</t>
  </si>
  <si>
    <t>VCMX</t>
  </si>
  <si>
    <t>4x8</t>
  </si>
  <si>
    <t>4NOXX9UU1</t>
  </si>
  <si>
    <t>UV PRIMED/UV PRIMED</t>
  </si>
  <si>
    <t>4WMPX9B29</t>
  </si>
  <si>
    <t>W.MAPLE  B UV / #2 UV</t>
  </si>
  <si>
    <t>Platform JS</t>
  </si>
  <si>
    <t>4WMPX9B2A</t>
  </si>
  <si>
    <t xml:space="preserve">W.MAPLE  B UV / #2 </t>
  </si>
  <si>
    <t>PlatformJS</t>
  </si>
  <si>
    <t>4WBPX9CD2</t>
  </si>
  <si>
    <t xml:space="preserve">W.BIRCH  C UV / D UV </t>
  </si>
  <si>
    <t xml:space="preserve">W.BIRCH  D+ UV / D UV </t>
  </si>
  <si>
    <t>4NOXX2UU2</t>
  </si>
  <si>
    <t>4NOXX9UU2</t>
  </si>
  <si>
    <t>SPM302703</t>
  </si>
  <si>
    <t>4WMPX9C25</t>
  </si>
  <si>
    <t xml:space="preserve">W.MAPLE  C UV / #2 UV </t>
  </si>
  <si>
    <t>2.3*620</t>
  </si>
  <si>
    <t>4WMM52A32</t>
  </si>
  <si>
    <t>W.MAPLE  A UV  /  #3</t>
  </si>
  <si>
    <t>4WMPX9B15</t>
  </si>
  <si>
    <t>W.MAPLE B UV / #1 UV</t>
  </si>
  <si>
    <t>PlatformAX</t>
  </si>
  <si>
    <t>W.MAPLE  C UV / # 2 UV</t>
  </si>
  <si>
    <t>4NOXX9NN1</t>
  </si>
  <si>
    <t xml:space="preserve">x </t>
  </si>
  <si>
    <t>4WBPX9DD2</t>
  </si>
  <si>
    <t>W.BIRCH D+ UV / D UV</t>
  </si>
  <si>
    <t>UPP273701</t>
  </si>
  <si>
    <t>PlywoodAP</t>
  </si>
  <si>
    <t>PHENOLIC</t>
  </si>
  <si>
    <t>3X7</t>
  </si>
  <si>
    <t>UPP274801</t>
  </si>
  <si>
    <t>4WMPX9B2I</t>
  </si>
  <si>
    <t>W.MAPLE B UV / #2 UV</t>
  </si>
  <si>
    <t>PlatformQS</t>
  </si>
  <si>
    <t>W.MAPLE C UV / #2</t>
  </si>
  <si>
    <t>PlatformJA</t>
  </si>
  <si>
    <t>4WMM52B32</t>
  </si>
  <si>
    <t>W.MAPLE B / #3 UV</t>
  </si>
  <si>
    <t>4X8</t>
  </si>
  <si>
    <t>4WMPX9B2H</t>
  </si>
  <si>
    <t xml:space="preserve">W.MAPLE B UV / #2 </t>
  </si>
  <si>
    <t>4WMPX9C24</t>
  </si>
  <si>
    <t>4WMPX5C21</t>
  </si>
  <si>
    <t>W.MAPLE C UV / #2 UV</t>
  </si>
  <si>
    <t>4WMPX9B2J</t>
  </si>
  <si>
    <t>4WMPX9B2B</t>
  </si>
  <si>
    <t>W.MAPLE B NO FIG / #2</t>
  </si>
  <si>
    <t>4WMPX9B2C</t>
  </si>
  <si>
    <t>W.MAPLE  B UV / #2</t>
  </si>
  <si>
    <t>48..5</t>
  </si>
  <si>
    <t>4WMPX9B28</t>
  </si>
  <si>
    <t>W.MAPLE B UV /#2</t>
  </si>
  <si>
    <t>4ROPX2B14</t>
  </si>
  <si>
    <t>R.OAK/W.MAPLE  B/#1</t>
  </si>
  <si>
    <t>PlywoodJA</t>
  </si>
  <si>
    <t>4CHPX2B14</t>
  </si>
  <si>
    <t>CHERRY/W.MAPLE B/#1</t>
  </si>
  <si>
    <t>4WMP63C31</t>
  </si>
  <si>
    <t>W.MAPLE  C UV / #3</t>
  </si>
  <si>
    <t>PlatformEU</t>
  </si>
  <si>
    <t>4HIPX2B14</t>
  </si>
  <si>
    <t>HICKORYW.MAPLE B CALICO/#1</t>
  </si>
  <si>
    <t>NAME</t>
  </si>
  <si>
    <t xml:space="preserve">MDF 3mm*730*2050 CARB P2 UV prime </t>
  </si>
  <si>
    <t xml:space="preserve">MDF 3mm*780*2050 CARB P2 UV prime </t>
  </si>
  <si>
    <t xml:space="preserve">MDF 3mm*830*2050 CARB P2 UV prime </t>
  </si>
  <si>
    <t>MDF 3mm*36.5*80.5 CARB P2 Standard Primed</t>
  </si>
  <si>
    <t>MDF 3mm*32.5*80.5 CARB P2 Standard Primed</t>
  </si>
  <si>
    <t>MDF 3mm*30.5*80.5 CARB P2 Standard Primed</t>
  </si>
  <si>
    <t>MDF 3mm*24.5*80.5 CARB P2 Standard Primed</t>
  </si>
  <si>
    <t>MDF 3mm*36.5*96.5 CARB P2 Standard Primed</t>
  </si>
  <si>
    <t>MDF 3mm*28.5*80.5 CARB P2 Standard Primed</t>
  </si>
  <si>
    <t>MDF 3mm*36.5*84.5 CARB P2 Standard Primed</t>
  </si>
  <si>
    <t>BMCZ0281</t>
  </si>
  <si>
    <t>BMCZ0282</t>
  </si>
  <si>
    <t>BMCZ0283</t>
  </si>
  <si>
    <t>BMCZ029J</t>
  </si>
  <si>
    <t>BMCZ029D</t>
  </si>
  <si>
    <t>BMCZ029B</t>
  </si>
  <si>
    <t>BMCZ0297</t>
  </si>
  <si>
    <t>BMCZ0292</t>
  </si>
  <si>
    <t>BMCZ0298</t>
  </si>
  <si>
    <t>BMCZ0285</t>
  </si>
  <si>
    <t>01-MAT-PUV-004</t>
  </si>
  <si>
    <t>010-MAT-PUV-002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</si>
</sst>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 * #,##0_ ;_ * \-#,##0_ ;_ * &quot;- _ &quot;;_ @_ "/>
    <numFmt numFmtId="166" formatCode="0.00_ "/>
    <numFmt numFmtId="167" formatCode="0_ "/>
  </numFmts>
  <fonts count="30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888888"/>
      <name val="Calibri"/>
    </font>
    <font>
      <b/>
      <sz val="14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Arial Narrow"/>
      <family val="2"/>
    </font>
    <font>
      <sz val="9"/>
      <color theme="1"/>
      <name val="Tahoma"/>
      <family val="2"/>
    </font>
    <font>
      <sz val="11"/>
      <color theme="1"/>
      <name val="Tahoma"/>
      <family val="2"/>
    </font>
    <font>
      <b/>
      <sz val="9"/>
      <name val="微软雅黑"/>
      <charset val="222"/>
    </font>
    <font>
      <sz val="11"/>
      <color theme="1"/>
      <name val="Book Antiqua"/>
      <family val="1"/>
    </font>
    <font>
      <b/>
      <sz val="9"/>
      <color theme="0"/>
      <name val="Arial Narrow"/>
      <family val="2"/>
    </font>
    <font>
      <b/>
      <sz val="9"/>
      <color theme="0"/>
      <name val="黑体"/>
      <charset val="222"/>
    </font>
    <font>
      <b/>
      <sz val="9"/>
      <color theme="0"/>
      <name val="宋体"/>
      <charset val="134"/>
    </font>
    <font>
      <sz val="9"/>
      <color theme="1"/>
      <name val="黑体"/>
      <charset val="134"/>
    </font>
    <font>
      <sz val="9"/>
      <color theme="1"/>
      <name val="黑体"/>
      <charset val="222"/>
    </font>
    <font>
      <sz val="9"/>
      <color rgb="FF002060"/>
      <name val="Arial Narrow"/>
      <family val="2"/>
    </font>
    <font>
      <b/>
      <sz val="9"/>
      <color theme="1"/>
      <name val="微软雅黑"/>
      <charset val="222"/>
    </font>
    <font>
      <sz val="11"/>
      <color theme="1"/>
      <name val="Calibri"/>
      <family val="1"/>
      <scheme val="minor"/>
    </font>
    <font>
      <sz val="10"/>
      <name val="Arial Narrow"/>
      <family val="2"/>
    </font>
    <font>
      <b/>
      <sz val="10"/>
      <color theme="1"/>
      <name val="Arial Narrow"/>
      <family val="2"/>
    </font>
    <font>
      <sz val="9"/>
      <color theme="1"/>
      <name val="宋体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CE4E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5FFAA"/>
        <bgColor rgb="FFFFFF9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rgb="FFEBF1DE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10B694"/>
      </left>
      <right style="thin">
        <color rgb="FF10B694"/>
      </right>
      <top style="thin">
        <color rgb="FF10B694"/>
      </top>
      <bottom style="thin">
        <color rgb="FF10B694"/>
      </bottom>
      <diagonal/>
    </border>
  </borders>
  <cellStyleXfs count="5">
    <xf numFmtId="0" fontId="0" fillId="0" borderId="0"/>
    <xf numFmtId="0" fontId="14" fillId="0" borderId="0">
      <alignment vertical="center"/>
    </xf>
    <xf numFmtId="0" fontId="16" fillId="0" borderId="0">
      <alignment vertical="center"/>
    </xf>
    <xf numFmtId="164" fontId="14" fillId="0" borderId="0" applyFont="0" applyFill="0" applyBorder="0" applyAlignment="0" applyProtection="0"/>
    <xf numFmtId="0" fontId="24" fillId="0" borderId="0">
      <alignment vertical="center"/>
    </xf>
  </cellStyleXfs>
  <cellXfs count="61">
    <xf numFmtId="0" fontId="0" fillId="0" borderId="0" xfId="0"/>
    <xf numFmtId="0" fontId="3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2" fillId="0" borderId="0" xfId="1" applyFont="1" applyAlignment="1">
      <alignment horizontal="center" vertical="center"/>
    </xf>
    <xf numFmtId="0" fontId="12" fillId="4" borderId="0" xfId="1" applyFont="1" applyFill="1" applyAlignment="1">
      <alignment horizontal="center" vertical="center"/>
    </xf>
    <xf numFmtId="0" fontId="17" fillId="9" borderId="0" xfId="1" applyFont="1" applyFill="1" applyAlignment="1">
      <alignment horizontal="center" vertical="center" wrapText="1"/>
    </xf>
    <xf numFmtId="165" fontId="17" fillId="9" borderId="0" xfId="1" applyNumberFormat="1" applyFont="1" applyFill="1" applyAlignment="1">
      <alignment horizontal="center" vertical="center" wrapText="1"/>
    </xf>
    <xf numFmtId="0" fontId="17" fillId="9" borderId="0" xfId="2" applyFont="1" applyFill="1" applyAlignment="1">
      <alignment horizontal="center" vertical="center" wrapText="1"/>
    </xf>
    <xf numFmtId="0" fontId="19" fillId="9" borderId="0" xfId="2" applyFont="1" applyFill="1" applyAlignment="1">
      <alignment horizontal="center" vertical="center" wrapText="1"/>
    </xf>
    <xf numFmtId="165" fontId="12" fillId="0" borderId="0" xfId="1" applyNumberFormat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165" fontId="22" fillId="0" borderId="0" xfId="1" applyNumberFormat="1" applyFont="1" applyAlignment="1">
      <alignment horizontal="center" vertical="center"/>
    </xf>
    <xf numFmtId="0" fontId="12" fillId="3" borderId="0" xfId="1" applyFont="1" applyFill="1" applyAlignment="1">
      <alignment horizontal="center" vertical="center"/>
    </xf>
    <xf numFmtId="165" fontId="12" fillId="3" borderId="0" xfId="1" applyNumberFormat="1" applyFont="1" applyFill="1" applyAlignment="1">
      <alignment horizontal="center" vertical="center"/>
    </xf>
    <xf numFmtId="0" fontId="12" fillId="10" borderId="0" xfId="1" applyFont="1" applyFill="1" applyAlignment="1">
      <alignment horizontal="center" vertical="center"/>
    </xf>
    <xf numFmtId="0" fontId="15" fillId="8" borderId="1" xfId="1" applyFont="1" applyFill="1" applyBorder="1" applyAlignment="1">
      <alignment horizontal="center" vertical="center" wrapText="1"/>
    </xf>
    <xf numFmtId="0" fontId="23" fillId="8" borderId="1" xfId="1" applyFont="1" applyFill="1" applyBorder="1" applyAlignment="1">
      <alignment horizontal="center" vertical="center" wrapText="1"/>
    </xf>
    <xf numFmtId="165" fontId="15" fillId="8" borderId="1" xfId="1" applyNumberFormat="1" applyFont="1" applyFill="1" applyBorder="1" applyAlignment="1">
      <alignment horizontal="center" vertical="center" wrapText="1"/>
    </xf>
    <xf numFmtId="0" fontId="15" fillId="8" borderId="1" xfId="2" applyFont="1" applyFill="1" applyBorder="1" applyAlignment="1">
      <alignment horizontal="center" vertical="center" wrapText="1"/>
    </xf>
    <xf numFmtId="0" fontId="14" fillId="0" borderId="0" xfId="1">
      <alignment vertical="center"/>
    </xf>
    <xf numFmtId="0" fontId="12" fillId="11" borderId="1" xfId="1" applyFont="1" applyFill="1" applyBorder="1" applyAlignment="1">
      <alignment horizontal="center" vertical="center"/>
    </xf>
    <xf numFmtId="165" fontId="12" fillId="11" borderId="1" xfId="1" applyNumberFormat="1" applyFont="1" applyFill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2" fillId="12" borderId="1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5" fontId="12" fillId="0" borderId="1" xfId="1" applyNumberFormat="1" applyFont="1" applyBorder="1" applyAlignment="1">
      <alignment horizontal="center" vertical="center"/>
    </xf>
    <xf numFmtId="0" fontId="12" fillId="4" borderId="1" xfId="1" applyFont="1" applyFill="1" applyBorder="1" applyAlignment="1">
      <alignment horizontal="center" vertical="center"/>
    </xf>
    <xf numFmtId="165" fontId="13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25" fillId="13" borderId="0" xfId="4" applyFont="1" applyFill="1" applyAlignment="1">
      <alignment horizontal="center" vertical="center" wrapText="1"/>
    </xf>
    <xf numFmtId="0" fontId="26" fillId="0" borderId="0" xfId="4" applyFont="1" applyAlignment="1">
      <alignment horizontal="center" vertical="center" wrapText="1"/>
    </xf>
    <xf numFmtId="0" fontId="12" fillId="0" borderId="0" xfId="4" applyFont="1" applyAlignment="1">
      <alignment horizontal="center" vertical="center"/>
    </xf>
    <xf numFmtId="0" fontId="12" fillId="4" borderId="0" xfId="4" applyFont="1" applyFill="1" applyAlignment="1">
      <alignment horizontal="center" vertical="center"/>
    </xf>
    <xf numFmtId="166" fontId="12" fillId="0" borderId="0" xfId="4" applyNumberFormat="1" applyFont="1" applyAlignment="1">
      <alignment horizontal="center" vertical="center"/>
    </xf>
    <xf numFmtId="167" fontId="12" fillId="0" borderId="0" xfId="4" applyNumberFormat="1" applyFont="1" applyAlignment="1">
      <alignment horizontal="center" vertical="center"/>
    </xf>
    <xf numFmtId="0" fontId="27" fillId="0" borderId="0" xfId="4" applyFont="1" applyAlignment="1">
      <alignment horizontal="center" vertical="center"/>
    </xf>
    <xf numFmtId="0" fontId="0" fillId="0" borderId="0" xfId="0" quotePrefix="1" applyAlignment="1">
      <alignment horizontal="center"/>
    </xf>
  </cellXfs>
  <cellStyles count="5">
    <cellStyle name="Comma 2" xfId="3" xr:uid="{978A903B-E631-4081-A094-5D9B3A75C348}"/>
    <cellStyle name="Normal" xfId="0" builtinId="0"/>
    <cellStyle name="Normal 2" xfId="1" xr:uid="{61653B65-16F3-429B-A82C-97F3E8C408DD}"/>
    <cellStyle name="Normal 3" xfId="4" xr:uid="{5B38EA21-EF8B-4253-906C-0AFEEFDEB3F0}"/>
    <cellStyle name="Normal 5" xfId="2" xr:uid="{71E20450-058A-46CD-9493-4FDC2D9E90DA}"/>
  </cellStyles>
  <dxfs count="391"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Tahoma"/>
        <scheme val="none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>
      <selection activeCell="A10" sqref="A10"/>
    </sheetView>
  </sheetViews>
  <sheetFormatPr defaultRowHeight="14.4"/>
  <cols>
    <col min="1" max="1" width="100" customWidth="1"/>
  </cols>
  <sheetData>
    <row r="1" spans="1:1" ht="18">
      <c r="A1" s="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87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7.5546875" style="7" customWidth="1"/>
    <col min="2" max="2" width="83.21875" style="10" customWidth="1"/>
    <col min="3" max="3" width="15.5546875" style="7" customWidth="1"/>
    <col min="4" max="4" width="14" style="7" customWidth="1"/>
    <col min="5" max="5" width="12" style="7" customWidth="1"/>
    <col min="6" max="6" width="13" style="7" customWidth="1"/>
    <col min="7" max="16" width="17.44140625" style="7" customWidth="1"/>
    <col min="17" max="20" width="21" style="7" customWidth="1"/>
    <col min="21" max="21" width="20" style="7" customWidth="1"/>
    <col min="22" max="22" width="12" style="7" customWidth="1"/>
  </cols>
  <sheetData>
    <row r="1" spans="1:22">
      <c r="A1" s="3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12" t="s">
        <v>28</v>
      </c>
      <c r="T1" s="4" t="s">
        <v>29</v>
      </c>
      <c r="U1" s="5" t="s">
        <v>30</v>
      </c>
      <c r="V1" s="4" t="s">
        <v>31</v>
      </c>
    </row>
    <row r="2" spans="1:22">
      <c r="A2" s="7" t="s">
        <v>52</v>
      </c>
      <c r="B2" s="9" t="s">
        <v>53</v>
      </c>
      <c r="C2" s="7">
        <v>62</v>
      </c>
      <c r="D2" s="7">
        <v>15.7</v>
      </c>
      <c r="E2" s="7">
        <v>48.5</v>
      </c>
      <c r="F2" s="7">
        <v>96.5</v>
      </c>
      <c r="G2" s="7" t="s">
        <v>54</v>
      </c>
      <c r="H2" s="7">
        <v>62</v>
      </c>
      <c r="I2" s="7" t="s">
        <v>55</v>
      </c>
      <c r="J2" s="7">
        <v>62</v>
      </c>
      <c r="K2" s="7" t="s">
        <v>56</v>
      </c>
      <c r="L2" s="7">
        <v>363.36997153160974</v>
      </c>
      <c r="M2" s="7" t="s">
        <v>55</v>
      </c>
      <c r="N2" s="7">
        <v>62</v>
      </c>
      <c r="O2" s="7" t="s">
        <v>56</v>
      </c>
      <c r="P2" s="8">
        <v>363.36997153160974</v>
      </c>
      <c r="Q2" s="6"/>
      <c r="R2" s="6"/>
      <c r="S2" s="6"/>
      <c r="T2" s="6"/>
      <c r="U2" s="6" t="s">
        <v>33</v>
      </c>
      <c r="V2" s="13">
        <v>48</v>
      </c>
    </row>
    <row r="3" spans="1:22">
      <c r="A3" s="7" t="s">
        <v>57</v>
      </c>
      <c r="B3" s="9" t="s">
        <v>58</v>
      </c>
      <c r="C3" s="7">
        <v>62</v>
      </c>
      <c r="D3" s="7">
        <v>15.7</v>
      </c>
      <c r="E3" s="7">
        <v>48.5</v>
      </c>
      <c r="F3" s="7">
        <v>96.5</v>
      </c>
      <c r="G3" s="7" t="s">
        <v>54</v>
      </c>
      <c r="H3" s="7">
        <v>62</v>
      </c>
      <c r="I3" s="7" t="s">
        <v>59</v>
      </c>
      <c r="J3" s="7">
        <v>62</v>
      </c>
      <c r="K3" s="7" t="s">
        <v>56</v>
      </c>
      <c r="L3" s="7">
        <v>363.36997153160974</v>
      </c>
      <c r="M3" s="7" t="s">
        <v>55</v>
      </c>
      <c r="N3" s="7">
        <v>62</v>
      </c>
      <c r="O3" s="7" t="s">
        <v>56</v>
      </c>
      <c r="P3" s="8">
        <v>363.36997153160974</v>
      </c>
      <c r="V3" s="13">
        <v>48</v>
      </c>
    </row>
    <row r="4" spans="1:22">
      <c r="A4" s="7" t="s">
        <v>60</v>
      </c>
      <c r="B4" s="9" t="s">
        <v>61</v>
      </c>
      <c r="C4" s="7">
        <v>50</v>
      </c>
      <c r="D4" s="7">
        <v>19</v>
      </c>
      <c r="E4" s="7">
        <v>49</v>
      </c>
      <c r="F4" s="7">
        <v>97</v>
      </c>
      <c r="G4" s="7" t="s">
        <v>62</v>
      </c>
      <c r="H4" s="7">
        <v>50</v>
      </c>
      <c r="I4" s="7" t="s">
        <v>63</v>
      </c>
      <c r="J4" s="7">
        <v>50</v>
      </c>
      <c r="K4" s="7" t="s">
        <v>56</v>
      </c>
      <c r="L4" s="7">
        <v>361.17655568644466</v>
      </c>
      <c r="M4" s="7" t="s">
        <v>64</v>
      </c>
      <c r="N4" s="7">
        <v>50</v>
      </c>
      <c r="O4" s="7" t="s">
        <v>56</v>
      </c>
      <c r="P4" s="8">
        <v>361.17655568644466</v>
      </c>
      <c r="V4" s="13">
        <v>48</v>
      </c>
    </row>
    <row r="5" spans="1:22">
      <c r="A5" s="7" t="s">
        <v>65</v>
      </c>
      <c r="B5" s="9" t="s">
        <v>66</v>
      </c>
      <c r="C5" s="7">
        <v>160</v>
      </c>
      <c r="D5" s="7">
        <v>5.2</v>
      </c>
      <c r="E5" s="7">
        <v>48.5</v>
      </c>
      <c r="F5" s="7">
        <v>96.5</v>
      </c>
      <c r="G5" s="7" t="s">
        <v>67</v>
      </c>
      <c r="H5" s="7">
        <v>160</v>
      </c>
      <c r="I5" s="7" t="s">
        <v>63</v>
      </c>
      <c r="J5" s="7">
        <v>160</v>
      </c>
      <c r="K5" s="7" t="s">
        <v>56</v>
      </c>
      <c r="L5" s="7">
        <v>363.36997153160974</v>
      </c>
      <c r="M5" s="7" t="s">
        <v>68</v>
      </c>
      <c r="N5" s="7">
        <v>150</v>
      </c>
      <c r="O5" s="7" t="s">
        <v>56</v>
      </c>
      <c r="P5" s="8">
        <v>363.36997153160974</v>
      </c>
      <c r="V5" s="13">
        <v>48</v>
      </c>
    </row>
    <row r="6" spans="1:22">
      <c r="A6" s="7" t="s">
        <v>69</v>
      </c>
      <c r="B6" s="9" t="s">
        <v>70</v>
      </c>
      <c r="C6" s="7">
        <v>160</v>
      </c>
      <c r="D6" s="7">
        <v>5.2</v>
      </c>
      <c r="E6" s="7">
        <v>48.5</v>
      </c>
      <c r="F6" s="7">
        <v>96.5</v>
      </c>
      <c r="G6" s="7" t="s">
        <v>67</v>
      </c>
      <c r="H6" s="7">
        <v>160</v>
      </c>
      <c r="I6" s="7" t="s">
        <v>71</v>
      </c>
      <c r="J6" s="7">
        <v>160</v>
      </c>
      <c r="K6" s="7" t="s">
        <v>56</v>
      </c>
      <c r="L6" s="7">
        <v>363.36997153160974</v>
      </c>
      <c r="M6" s="7" t="s">
        <v>68</v>
      </c>
      <c r="N6" s="7">
        <v>150</v>
      </c>
      <c r="O6" s="7" t="s">
        <v>56</v>
      </c>
      <c r="P6" s="8">
        <v>363.36997153160974</v>
      </c>
      <c r="V6" s="13">
        <v>48</v>
      </c>
    </row>
    <row r="7" spans="1:22">
      <c r="A7" s="7" t="s">
        <v>72</v>
      </c>
      <c r="B7" s="9" t="s">
        <v>73</v>
      </c>
      <c r="C7" s="7">
        <v>160</v>
      </c>
      <c r="D7" s="7">
        <v>5.2</v>
      </c>
      <c r="E7" s="7">
        <v>48.5</v>
      </c>
      <c r="F7" s="7">
        <v>96.5</v>
      </c>
      <c r="G7" s="7" t="s">
        <v>67</v>
      </c>
      <c r="H7" s="7">
        <v>160</v>
      </c>
      <c r="I7" s="7" t="s">
        <v>71</v>
      </c>
      <c r="J7" s="7">
        <v>160</v>
      </c>
      <c r="K7" s="7" t="s">
        <v>56</v>
      </c>
      <c r="L7" s="7">
        <v>363.36997153160974</v>
      </c>
      <c r="M7" s="7" t="s">
        <v>64</v>
      </c>
      <c r="N7" s="7">
        <v>160</v>
      </c>
      <c r="O7" s="7" t="s">
        <v>56</v>
      </c>
      <c r="P7" s="8">
        <v>363.36997153160974</v>
      </c>
      <c r="V7" s="13">
        <v>48</v>
      </c>
    </row>
    <row r="8" spans="1:22">
      <c r="A8" s="7" t="s">
        <v>74</v>
      </c>
      <c r="B8" s="9" t="s">
        <v>75</v>
      </c>
      <c r="C8" s="7">
        <v>150</v>
      </c>
      <c r="D8" s="7">
        <v>5.2</v>
      </c>
      <c r="E8" s="7">
        <v>48.5</v>
      </c>
      <c r="F8" s="7">
        <v>96.5</v>
      </c>
      <c r="G8" s="7" t="s">
        <v>67</v>
      </c>
      <c r="H8" s="7">
        <v>150</v>
      </c>
      <c r="I8" s="7" t="s">
        <v>63</v>
      </c>
      <c r="J8" s="7">
        <v>150</v>
      </c>
      <c r="K8" s="7" t="s">
        <v>56</v>
      </c>
      <c r="L8" s="7">
        <v>363.36997153160974</v>
      </c>
      <c r="M8" s="7" t="s">
        <v>76</v>
      </c>
      <c r="N8" s="7">
        <v>160</v>
      </c>
      <c r="O8" s="7" t="s">
        <v>56</v>
      </c>
      <c r="P8" s="8">
        <v>363.36997153160974</v>
      </c>
      <c r="V8" s="13">
        <v>48</v>
      </c>
    </row>
    <row r="9" spans="1:22">
      <c r="A9" s="7" t="s">
        <v>77</v>
      </c>
      <c r="B9" s="9" t="s">
        <v>78</v>
      </c>
      <c r="C9" s="7">
        <v>160</v>
      </c>
      <c r="D9" s="7">
        <v>5.2</v>
      </c>
      <c r="E9" s="7">
        <v>48.5</v>
      </c>
      <c r="F9" s="7">
        <v>96.5</v>
      </c>
      <c r="G9" s="7" t="s">
        <v>67</v>
      </c>
      <c r="H9" s="7">
        <v>160</v>
      </c>
      <c r="I9" s="7" t="s">
        <v>71</v>
      </c>
      <c r="J9" s="7">
        <v>160</v>
      </c>
      <c r="K9" s="7" t="s">
        <v>56</v>
      </c>
      <c r="L9" s="7">
        <v>363.36997153160974</v>
      </c>
      <c r="M9" s="7" t="s">
        <v>79</v>
      </c>
      <c r="N9" s="7">
        <v>160</v>
      </c>
      <c r="O9" s="7" t="s">
        <v>56</v>
      </c>
      <c r="P9" s="8">
        <v>363.36997153160974</v>
      </c>
      <c r="V9" s="13">
        <v>48</v>
      </c>
    </row>
    <row r="10" spans="1:22">
      <c r="A10" s="7" t="s">
        <v>80</v>
      </c>
      <c r="B10" s="9" t="s">
        <v>81</v>
      </c>
      <c r="C10" s="7">
        <v>160</v>
      </c>
      <c r="D10" s="7">
        <v>5.2</v>
      </c>
      <c r="E10" s="7">
        <v>48.5</v>
      </c>
      <c r="F10" s="7">
        <v>96.5</v>
      </c>
      <c r="G10" s="7" t="s">
        <v>67</v>
      </c>
      <c r="H10" s="7">
        <v>160</v>
      </c>
      <c r="I10" s="7" t="s">
        <v>63</v>
      </c>
      <c r="J10" s="7">
        <v>160</v>
      </c>
      <c r="K10" s="7" t="s">
        <v>56</v>
      </c>
      <c r="L10" s="7">
        <v>363.36997153160974</v>
      </c>
      <c r="M10" s="7" t="s">
        <v>79</v>
      </c>
      <c r="N10" s="7">
        <v>160</v>
      </c>
      <c r="O10" s="7" t="s">
        <v>56</v>
      </c>
      <c r="P10" s="8">
        <v>363.36997153160974</v>
      </c>
      <c r="V10" s="13">
        <v>48</v>
      </c>
    </row>
    <row r="11" spans="1:22">
      <c r="A11" s="7" t="s">
        <v>82</v>
      </c>
      <c r="B11" s="9" t="s">
        <v>83</v>
      </c>
      <c r="C11" s="7">
        <v>160</v>
      </c>
      <c r="D11" s="7">
        <v>5.2</v>
      </c>
      <c r="E11" s="7">
        <v>48.5</v>
      </c>
      <c r="F11" s="7">
        <v>96.5</v>
      </c>
      <c r="G11" s="7" t="s">
        <v>67</v>
      </c>
      <c r="H11" s="7">
        <v>160</v>
      </c>
      <c r="I11" s="7" t="s">
        <v>84</v>
      </c>
      <c r="J11" s="7">
        <v>160</v>
      </c>
      <c r="K11" s="7" t="s">
        <v>56</v>
      </c>
      <c r="L11" s="7">
        <v>363.36997153160974</v>
      </c>
      <c r="M11" s="7" t="s">
        <v>85</v>
      </c>
      <c r="N11" s="7">
        <v>160</v>
      </c>
      <c r="O11" s="7" t="s">
        <v>56</v>
      </c>
      <c r="P11" s="8">
        <v>363.36997153160974</v>
      </c>
      <c r="V11" s="13">
        <v>48</v>
      </c>
    </row>
    <row r="12" spans="1:22">
      <c r="A12" s="7" t="s">
        <v>86</v>
      </c>
      <c r="B12" s="9" t="s">
        <v>87</v>
      </c>
      <c r="C12" s="7">
        <v>160</v>
      </c>
      <c r="D12" s="7">
        <v>5.2</v>
      </c>
      <c r="E12" s="7">
        <v>48.5</v>
      </c>
      <c r="F12" s="7">
        <v>96.5</v>
      </c>
      <c r="G12" s="7" t="s">
        <v>67</v>
      </c>
      <c r="H12" s="7">
        <v>160</v>
      </c>
      <c r="I12" s="7" t="s">
        <v>63</v>
      </c>
      <c r="J12" s="7">
        <v>160</v>
      </c>
      <c r="K12" s="7" t="s">
        <v>56</v>
      </c>
      <c r="L12" s="7">
        <v>363.36997153160974</v>
      </c>
      <c r="M12" s="7" t="s">
        <v>68</v>
      </c>
      <c r="N12" s="7">
        <v>160</v>
      </c>
      <c r="O12" s="7" t="s">
        <v>56</v>
      </c>
      <c r="P12" s="8">
        <v>363.36997153160974</v>
      </c>
      <c r="V12" s="13">
        <v>48</v>
      </c>
    </row>
    <row r="13" spans="1:22">
      <c r="A13" s="7" t="s">
        <v>88</v>
      </c>
      <c r="B13" s="9" t="s">
        <v>89</v>
      </c>
      <c r="C13" s="7">
        <v>160</v>
      </c>
      <c r="D13" s="7">
        <v>5.2</v>
      </c>
      <c r="E13" s="7">
        <v>48.5</v>
      </c>
      <c r="F13" s="7">
        <v>96.5</v>
      </c>
      <c r="G13" s="7" t="s">
        <v>67</v>
      </c>
      <c r="H13" s="7">
        <v>160</v>
      </c>
      <c r="I13" s="7" t="s">
        <v>90</v>
      </c>
      <c r="J13" s="7">
        <v>160</v>
      </c>
      <c r="K13" s="7" t="s">
        <v>56</v>
      </c>
      <c r="L13" s="7">
        <v>363.36997153160974</v>
      </c>
      <c r="M13" s="7" t="s">
        <v>68</v>
      </c>
      <c r="N13" s="7">
        <v>160</v>
      </c>
      <c r="O13" s="7" t="s">
        <v>56</v>
      </c>
      <c r="P13" s="8">
        <v>363.36997153160974</v>
      </c>
      <c r="V13" s="13">
        <v>48</v>
      </c>
    </row>
    <row r="14" spans="1:22">
      <c r="A14" s="7" t="s">
        <v>91</v>
      </c>
      <c r="B14" s="9" t="s">
        <v>92</v>
      </c>
      <c r="C14" s="7">
        <v>160</v>
      </c>
      <c r="D14" s="7">
        <v>5.2</v>
      </c>
      <c r="E14" s="7">
        <v>48.5</v>
      </c>
      <c r="F14" s="7">
        <v>72.5</v>
      </c>
      <c r="G14" s="7" t="s">
        <v>93</v>
      </c>
      <c r="H14" s="7">
        <v>160</v>
      </c>
      <c r="I14" s="7" t="s">
        <v>94</v>
      </c>
      <c r="J14" s="7">
        <v>160</v>
      </c>
      <c r="K14" s="7" t="s">
        <v>56</v>
      </c>
      <c r="L14" s="7">
        <v>277.13409593485852</v>
      </c>
      <c r="M14" s="7" t="s">
        <v>68</v>
      </c>
      <c r="N14" s="7">
        <v>160</v>
      </c>
      <c r="O14" s="7" t="s">
        <v>56</v>
      </c>
      <c r="P14" s="8">
        <v>277.13409593485852</v>
      </c>
      <c r="V14" s="13">
        <v>48</v>
      </c>
    </row>
    <row r="15" spans="1:22">
      <c r="A15" s="7" t="s">
        <v>95</v>
      </c>
      <c r="B15" s="9" t="s">
        <v>96</v>
      </c>
      <c r="C15" s="7">
        <v>160</v>
      </c>
      <c r="D15" s="7">
        <v>5.2</v>
      </c>
      <c r="E15" s="7">
        <v>48.5</v>
      </c>
      <c r="F15" s="7">
        <v>72.5</v>
      </c>
      <c r="G15" s="7" t="s">
        <v>93</v>
      </c>
      <c r="H15" s="7">
        <v>160</v>
      </c>
      <c r="I15" s="7" t="s">
        <v>63</v>
      </c>
      <c r="J15" s="7">
        <v>160</v>
      </c>
      <c r="K15" s="7" t="s">
        <v>56</v>
      </c>
      <c r="L15" s="7">
        <v>277.13409593485852</v>
      </c>
      <c r="M15" s="7" t="s">
        <v>97</v>
      </c>
      <c r="N15" s="7">
        <v>160</v>
      </c>
      <c r="O15" s="7" t="s">
        <v>56</v>
      </c>
      <c r="P15" s="8">
        <v>277.13409593485852</v>
      </c>
      <c r="V15" s="13">
        <v>48</v>
      </c>
    </row>
    <row r="16" spans="1:22">
      <c r="A16" s="7" t="s">
        <v>98</v>
      </c>
      <c r="B16" s="9" t="s">
        <v>99</v>
      </c>
      <c r="C16" s="7">
        <v>100</v>
      </c>
      <c r="D16" s="7">
        <v>5.2</v>
      </c>
      <c r="E16" s="7">
        <v>48.5</v>
      </c>
      <c r="F16" s="7">
        <v>96.5</v>
      </c>
      <c r="G16" s="7" t="s">
        <v>100</v>
      </c>
      <c r="H16" s="7">
        <v>100</v>
      </c>
      <c r="I16" s="7" t="s">
        <v>101</v>
      </c>
      <c r="J16" s="7">
        <v>360</v>
      </c>
      <c r="K16" s="7" t="s">
        <v>102</v>
      </c>
      <c r="L16" s="7">
        <v>247.75225331700662</v>
      </c>
      <c r="M16" s="7" t="s">
        <v>101</v>
      </c>
      <c r="N16" s="7">
        <v>360</v>
      </c>
      <c r="O16" s="7" t="s">
        <v>102</v>
      </c>
      <c r="P16" s="8">
        <v>247.75225331700662</v>
      </c>
      <c r="V16" s="13">
        <v>48</v>
      </c>
    </row>
    <row r="17" spans="1:22">
      <c r="A17" s="7" t="s">
        <v>103</v>
      </c>
      <c r="B17" s="9" t="s">
        <v>104</v>
      </c>
      <c r="C17" s="7">
        <v>160</v>
      </c>
      <c r="D17" s="7">
        <v>5.2</v>
      </c>
      <c r="E17" s="7">
        <v>48.5</v>
      </c>
      <c r="F17" s="7">
        <v>72.5</v>
      </c>
      <c r="G17" s="7" t="s">
        <v>93</v>
      </c>
      <c r="H17" s="7">
        <v>160</v>
      </c>
      <c r="I17" s="7" t="s">
        <v>90</v>
      </c>
      <c r="J17" s="7">
        <v>160</v>
      </c>
      <c r="K17" s="7" t="s">
        <v>56</v>
      </c>
      <c r="L17" s="7">
        <v>277.13409593485852</v>
      </c>
      <c r="M17" s="7" t="s">
        <v>105</v>
      </c>
      <c r="N17" s="7">
        <v>160</v>
      </c>
      <c r="O17" s="7" t="s">
        <v>56</v>
      </c>
      <c r="P17" s="8">
        <v>277.13409593485852</v>
      </c>
      <c r="V17" s="13">
        <v>48</v>
      </c>
    </row>
    <row r="18" spans="1:22">
      <c r="A18" s="7" t="s">
        <v>106</v>
      </c>
      <c r="B18" s="9" t="s">
        <v>107</v>
      </c>
      <c r="C18" s="7">
        <v>160</v>
      </c>
      <c r="D18" s="7">
        <v>5.2</v>
      </c>
      <c r="E18" s="7">
        <v>48.5</v>
      </c>
      <c r="F18" s="7">
        <v>96.5</v>
      </c>
      <c r="G18" s="7" t="s">
        <v>67</v>
      </c>
      <c r="H18" s="7">
        <v>160</v>
      </c>
      <c r="I18" s="7" t="s">
        <v>63</v>
      </c>
      <c r="J18" s="7">
        <v>160</v>
      </c>
      <c r="K18" s="7" t="s">
        <v>56</v>
      </c>
      <c r="L18" s="7">
        <v>363.36997153160974</v>
      </c>
      <c r="M18" s="7" t="s">
        <v>76</v>
      </c>
      <c r="N18" s="7">
        <v>160</v>
      </c>
      <c r="O18" s="7" t="s">
        <v>56</v>
      </c>
      <c r="P18" s="8">
        <v>363.36997153160974</v>
      </c>
      <c r="V18" s="13">
        <v>48</v>
      </c>
    </row>
    <row r="19" spans="1:22">
      <c r="A19" s="7" t="s">
        <v>108</v>
      </c>
      <c r="B19" s="9" t="s">
        <v>109</v>
      </c>
      <c r="C19" s="7">
        <v>160</v>
      </c>
      <c r="D19" s="7">
        <v>5.2</v>
      </c>
      <c r="E19" s="7">
        <v>48.5</v>
      </c>
      <c r="F19" s="7">
        <v>96.5</v>
      </c>
      <c r="G19" s="7" t="s">
        <v>67</v>
      </c>
      <c r="H19" s="7">
        <v>160</v>
      </c>
      <c r="I19" s="7" t="s">
        <v>90</v>
      </c>
      <c r="J19" s="7">
        <v>160</v>
      </c>
      <c r="K19" s="7" t="s">
        <v>56</v>
      </c>
      <c r="L19" s="7">
        <v>363.36997153160974</v>
      </c>
      <c r="M19" s="7" t="s">
        <v>79</v>
      </c>
      <c r="N19" s="7">
        <v>160</v>
      </c>
      <c r="O19" s="7" t="s">
        <v>56</v>
      </c>
      <c r="P19" s="8">
        <v>363.36997153160974</v>
      </c>
      <c r="V19" s="13">
        <v>48</v>
      </c>
    </row>
    <row r="20" spans="1:22">
      <c r="A20" s="7" t="s">
        <v>110</v>
      </c>
      <c r="B20" s="9" t="s">
        <v>111</v>
      </c>
      <c r="C20" s="7">
        <v>160</v>
      </c>
      <c r="D20" s="7">
        <v>5.2</v>
      </c>
      <c r="E20" s="7">
        <v>48.5</v>
      </c>
      <c r="F20" s="7">
        <v>96.5</v>
      </c>
      <c r="G20" s="7" t="s">
        <v>67</v>
      </c>
      <c r="H20" s="7">
        <v>160</v>
      </c>
      <c r="I20" s="7" t="s">
        <v>55</v>
      </c>
      <c r="J20" s="7">
        <v>160</v>
      </c>
      <c r="K20" s="7" t="s">
        <v>56</v>
      </c>
      <c r="L20" s="7">
        <v>363.36997153160974</v>
      </c>
      <c r="M20" s="7" t="s">
        <v>64</v>
      </c>
      <c r="N20" s="7">
        <v>160</v>
      </c>
      <c r="O20" s="7" t="s">
        <v>56</v>
      </c>
      <c r="P20" s="8">
        <v>363.36997153160974</v>
      </c>
      <c r="V20" s="13">
        <v>48</v>
      </c>
    </row>
    <row r="21" spans="1:22">
      <c r="A21" s="7" t="s">
        <v>112</v>
      </c>
      <c r="B21" s="9" t="s">
        <v>113</v>
      </c>
      <c r="C21" s="7">
        <v>160</v>
      </c>
      <c r="D21" s="7">
        <v>5.2</v>
      </c>
      <c r="E21" s="7">
        <v>48.5</v>
      </c>
      <c r="F21" s="7">
        <v>96.5</v>
      </c>
      <c r="G21" s="7" t="s">
        <v>67</v>
      </c>
      <c r="H21" s="7">
        <v>160</v>
      </c>
      <c r="I21" s="7" t="s">
        <v>55</v>
      </c>
      <c r="J21" s="7">
        <v>160</v>
      </c>
      <c r="K21" s="7" t="s">
        <v>56</v>
      </c>
      <c r="L21" s="7">
        <v>363.36997153160974</v>
      </c>
      <c r="M21" s="7" t="s">
        <v>55</v>
      </c>
      <c r="N21" s="7">
        <v>160</v>
      </c>
      <c r="O21" s="7" t="s">
        <v>56</v>
      </c>
      <c r="P21" s="8">
        <v>363.36997153160974</v>
      </c>
      <c r="V21" s="13">
        <v>48</v>
      </c>
    </row>
    <row r="22" spans="1:22">
      <c r="A22" s="7" t="s">
        <v>114</v>
      </c>
      <c r="B22" s="9" t="s">
        <v>115</v>
      </c>
      <c r="C22" s="7">
        <v>160</v>
      </c>
      <c r="D22" s="7">
        <v>5.2</v>
      </c>
      <c r="E22" s="7">
        <v>48.5</v>
      </c>
      <c r="F22" s="7">
        <v>96.5</v>
      </c>
      <c r="G22" s="7" t="s">
        <v>67</v>
      </c>
      <c r="H22" s="7">
        <v>160</v>
      </c>
      <c r="I22" s="7" t="s">
        <v>116</v>
      </c>
      <c r="J22" s="7">
        <v>160</v>
      </c>
      <c r="K22" s="7" t="s">
        <v>56</v>
      </c>
      <c r="L22" s="7">
        <v>363.36997153160974</v>
      </c>
      <c r="M22" s="7" t="s">
        <v>117</v>
      </c>
      <c r="N22" s="7">
        <v>160</v>
      </c>
      <c r="O22" s="7" t="s">
        <v>56</v>
      </c>
      <c r="P22" s="8">
        <v>363.36997153160974</v>
      </c>
      <c r="V22" s="13">
        <v>48</v>
      </c>
    </row>
    <row r="23" spans="1:22">
      <c r="A23" s="7" t="s">
        <v>118</v>
      </c>
      <c r="B23" s="9" t="s">
        <v>119</v>
      </c>
      <c r="C23" s="7">
        <v>160</v>
      </c>
      <c r="D23" s="7">
        <v>5.2</v>
      </c>
      <c r="E23" s="7">
        <v>48.5</v>
      </c>
      <c r="F23" s="7">
        <v>96.5</v>
      </c>
      <c r="G23" s="7" t="s">
        <v>67</v>
      </c>
      <c r="H23" s="7">
        <v>160</v>
      </c>
      <c r="I23" s="7" t="s">
        <v>120</v>
      </c>
      <c r="J23" s="7">
        <v>160</v>
      </c>
      <c r="K23" s="7" t="s">
        <v>56</v>
      </c>
      <c r="L23" s="7">
        <v>363.36997153160974</v>
      </c>
      <c r="M23" s="7" t="s">
        <v>120</v>
      </c>
      <c r="N23" s="7">
        <v>160</v>
      </c>
      <c r="O23" s="7" t="s">
        <v>56</v>
      </c>
      <c r="P23" s="8">
        <v>363.36997153160974</v>
      </c>
      <c r="V23" s="13">
        <v>48</v>
      </c>
    </row>
    <row r="24" spans="1:22">
      <c r="A24" s="7" t="s">
        <v>121</v>
      </c>
      <c r="B24" s="9" t="s">
        <v>122</v>
      </c>
      <c r="C24" s="7">
        <v>160</v>
      </c>
      <c r="D24" s="7">
        <v>5.2</v>
      </c>
      <c r="E24" s="7">
        <v>48.5</v>
      </c>
      <c r="F24" s="7">
        <v>96.5</v>
      </c>
      <c r="G24" s="7" t="s">
        <v>67</v>
      </c>
      <c r="H24" s="7">
        <v>160</v>
      </c>
      <c r="I24" s="7" t="s">
        <v>116</v>
      </c>
      <c r="J24" s="7">
        <v>160</v>
      </c>
      <c r="K24" s="7" t="s">
        <v>56</v>
      </c>
      <c r="L24" s="7">
        <v>363.36997153160974</v>
      </c>
      <c r="M24" s="7" t="s">
        <v>116</v>
      </c>
      <c r="N24" s="7">
        <v>160</v>
      </c>
      <c r="O24" s="7" t="s">
        <v>56</v>
      </c>
      <c r="P24" s="8">
        <v>363.36997153160974</v>
      </c>
      <c r="V24" s="13">
        <v>48</v>
      </c>
    </row>
    <row r="25" spans="1:22">
      <c r="A25" s="7" t="s">
        <v>123</v>
      </c>
      <c r="B25" s="9" t="s">
        <v>124</v>
      </c>
      <c r="C25" s="7">
        <v>160</v>
      </c>
      <c r="D25" s="7">
        <v>5.2</v>
      </c>
      <c r="E25" s="7">
        <v>48.5</v>
      </c>
      <c r="F25" s="7">
        <v>96.5</v>
      </c>
      <c r="G25" s="7" t="s">
        <v>67</v>
      </c>
      <c r="H25" s="7">
        <v>160</v>
      </c>
      <c r="I25" s="7" t="s">
        <v>116</v>
      </c>
      <c r="J25" s="7">
        <v>160</v>
      </c>
      <c r="K25" s="7" t="s">
        <v>56</v>
      </c>
      <c r="L25" s="7">
        <v>363.36997153160974</v>
      </c>
      <c r="M25" s="7" t="s">
        <v>120</v>
      </c>
      <c r="N25" s="7">
        <v>160</v>
      </c>
      <c r="O25" s="7" t="s">
        <v>56</v>
      </c>
      <c r="P25" s="8">
        <v>363.36997153160974</v>
      </c>
      <c r="V25" s="13">
        <v>48</v>
      </c>
    </row>
    <row r="26" spans="1:22">
      <c r="A26" s="7" t="s">
        <v>125</v>
      </c>
      <c r="B26" s="9" t="s">
        <v>126</v>
      </c>
      <c r="C26" s="7">
        <v>160</v>
      </c>
      <c r="D26" s="7">
        <v>5.2</v>
      </c>
      <c r="E26" s="7">
        <v>48.5</v>
      </c>
      <c r="F26" s="7">
        <v>96.5</v>
      </c>
      <c r="G26" s="7" t="s">
        <v>67</v>
      </c>
      <c r="H26" s="7">
        <v>160</v>
      </c>
      <c r="I26" s="7" t="s">
        <v>127</v>
      </c>
      <c r="J26" s="7">
        <v>160</v>
      </c>
      <c r="K26" s="7" t="s">
        <v>56</v>
      </c>
      <c r="L26" s="7">
        <v>363.36997153160974</v>
      </c>
      <c r="M26" s="7" t="s">
        <v>68</v>
      </c>
      <c r="N26" s="7">
        <v>160</v>
      </c>
      <c r="O26" s="7" t="s">
        <v>56</v>
      </c>
      <c r="P26" s="8">
        <v>363.36997153160974</v>
      </c>
      <c r="V26" s="13">
        <v>48</v>
      </c>
    </row>
    <row r="27" spans="1:22">
      <c r="A27" s="7" t="s">
        <v>128</v>
      </c>
      <c r="B27" s="9" t="s">
        <v>129</v>
      </c>
      <c r="C27" s="7">
        <v>160</v>
      </c>
      <c r="D27" s="7">
        <v>5.2</v>
      </c>
      <c r="E27" s="7">
        <v>48.5</v>
      </c>
      <c r="F27" s="7">
        <v>96.5</v>
      </c>
      <c r="G27" s="7" t="s">
        <v>67</v>
      </c>
      <c r="H27" s="7">
        <v>160</v>
      </c>
      <c r="I27" s="7" t="s">
        <v>127</v>
      </c>
      <c r="J27" s="7">
        <v>160</v>
      </c>
      <c r="K27" s="7" t="s">
        <v>56</v>
      </c>
      <c r="L27" s="7">
        <v>363.36997153160974</v>
      </c>
      <c r="M27" s="7" t="s">
        <v>127</v>
      </c>
      <c r="N27" s="7">
        <v>160</v>
      </c>
      <c r="O27" s="7" t="s">
        <v>56</v>
      </c>
      <c r="P27" s="8">
        <v>363.36997153160974</v>
      </c>
      <c r="V27" s="13">
        <v>48</v>
      </c>
    </row>
    <row r="28" spans="1:22">
      <c r="A28" s="7" t="s">
        <v>130</v>
      </c>
      <c r="B28" s="9" t="s">
        <v>131</v>
      </c>
      <c r="C28" s="7">
        <v>160</v>
      </c>
      <c r="D28" s="7">
        <v>5.2</v>
      </c>
      <c r="E28" s="7">
        <v>48.5</v>
      </c>
      <c r="F28" s="7">
        <v>96.5</v>
      </c>
      <c r="G28" s="7" t="s">
        <v>67</v>
      </c>
      <c r="H28" s="7">
        <v>160</v>
      </c>
      <c r="I28" s="7" t="s">
        <v>68</v>
      </c>
      <c r="J28" s="7">
        <v>160</v>
      </c>
      <c r="K28" s="7" t="s">
        <v>56</v>
      </c>
      <c r="L28" s="7">
        <v>363.36997153160974</v>
      </c>
      <c r="M28" s="7" t="s">
        <v>68</v>
      </c>
      <c r="N28" s="7">
        <v>160</v>
      </c>
      <c r="O28" s="7" t="s">
        <v>56</v>
      </c>
      <c r="P28" s="8">
        <v>363.36997153160974</v>
      </c>
      <c r="V28" s="13">
        <v>48</v>
      </c>
    </row>
    <row r="29" spans="1:22">
      <c r="A29" s="7" t="s">
        <v>132</v>
      </c>
      <c r="B29" s="9" t="s">
        <v>133</v>
      </c>
      <c r="C29" s="7">
        <v>100</v>
      </c>
      <c r="D29" s="7">
        <v>19</v>
      </c>
      <c r="E29" s="7">
        <v>48.5</v>
      </c>
      <c r="F29" s="7">
        <v>96.5</v>
      </c>
      <c r="G29" s="7" t="s">
        <v>134</v>
      </c>
      <c r="H29" s="7">
        <v>100</v>
      </c>
      <c r="I29" s="7" t="s">
        <v>120</v>
      </c>
      <c r="J29" s="7">
        <v>100</v>
      </c>
      <c r="K29" s="7" t="s">
        <v>56</v>
      </c>
      <c r="L29" s="7">
        <v>363.36997153160974</v>
      </c>
      <c r="M29" s="7" t="s">
        <v>120</v>
      </c>
      <c r="N29" s="7">
        <v>100</v>
      </c>
      <c r="O29" s="7" t="s">
        <v>56</v>
      </c>
      <c r="P29" s="8">
        <v>363.36997153160974</v>
      </c>
      <c r="V29" s="13">
        <v>48</v>
      </c>
    </row>
    <row r="30" spans="1:22">
      <c r="A30" s="7" t="s">
        <v>135</v>
      </c>
      <c r="B30" s="9" t="s">
        <v>136</v>
      </c>
      <c r="C30" s="7">
        <v>50</v>
      </c>
      <c r="D30" s="7">
        <v>19</v>
      </c>
      <c r="E30" s="7">
        <v>48.5</v>
      </c>
      <c r="F30" s="7">
        <v>96.5</v>
      </c>
      <c r="G30" s="7" t="s">
        <v>134</v>
      </c>
      <c r="H30" s="7">
        <v>50</v>
      </c>
      <c r="I30" s="7" t="s">
        <v>120</v>
      </c>
      <c r="J30" s="7">
        <v>50</v>
      </c>
      <c r="K30" s="7" t="s">
        <v>56</v>
      </c>
      <c r="L30" s="7">
        <v>363.36997153160974</v>
      </c>
      <c r="M30" s="7" t="s">
        <v>120</v>
      </c>
      <c r="N30" s="7">
        <v>50</v>
      </c>
      <c r="O30" s="7" t="s">
        <v>56</v>
      </c>
      <c r="P30" s="8">
        <v>363.36997153160974</v>
      </c>
      <c r="V30" s="13">
        <v>48</v>
      </c>
    </row>
    <row r="31" spans="1:22">
      <c r="A31" s="7" t="s">
        <v>137</v>
      </c>
      <c r="B31" s="9" t="s">
        <v>138</v>
      </c>
      <c r="C31" s="7">
        <v>50</v>
      </c>
      <c r="D31" s="7">
        <v>19</v>
      </c>
      <c r="E31" s="7">
        <v>48.5</v>
      </c>
      <c r="F31" s="7">
        <v>96.5</v>
      </c>
      <c r="G31" s="7" t="s">
        <v>139</v>
      </c>
      <c r="H31" s="7">
        <v>50</v>
      </c>
      <c r="I31" s="7" t="s">
        <v>71</v>
      </c>
      <c r="J31" s="7">
        <v>50</v>
      </c>
      <c r="K31" s="7" t="s">
        <v>56</v>
      </c>
      <c r="L31" s="7">
        <v>357.67940424769745</v>
      </c>
      <c r="M31" s="7" t="s">
        <v>79</v>
      </c>
      <c r="N31" s="7">
        <v>50</v>
      </c>
      <c r="O31" s="7" t="s">
        <v>56</v>
      </c>
      <c r="P31" s="8">
        <v>357.67940424769745</v>
      </c>
      <c r="V31" s="13">
        <v>48</v>
      </c>
    </row>
    <row r="32" spans="1:22">
      <c r="A32" s="7" t="s">
        <v>140</v>
      </c>
      <c r="B32" s="9" t="s">
        <v>141</v>
      </c>
      <c r="C32" s="7">
        <v>45</v>
      </c>
      <c r="D32" s="7">
        <v>19</v>
      </c>
      <c r="E32" s="7">
        <v>48.5</v>
      </c>
      <c r="F32" s="7">
        <v>96.5</v>
      </c>
      <c r="G32" s="7" t="s">
        <v>139</v>
      </c>
      <c r="H32" s="7">
        <v>45</v>
      </c>
      <c r="I32" s="7" t="s">
        <v>63</v>
      </c>
      <c r="J32" s="7">
        <v>45</v>
      </c>
      <c r="K32" s="7" t="s">
        <v>56</v>
      </c>
      <c r="L32" s="7">
        <v>357.67940424769745</v>
      </c>
      <c r="M32" s="7" t="s">
        <v>68</v>
      </c>
      <c r="N32" s="7">
        <v>45</v>
      </c>
      <c r="O32" s="7" t="s">
        <v>56</v>
      </c>
      <c r="P32" s="8">
        <v>357.67940424769745</v>
      </c>
      <c r="V32" s="13">
        <v>48</v>
      </c>
    </row>
    <row r="33" spans="1:22">
      <c r="A33" s="7" t="s">
        <v>142</v>
      </c>
      <c r="B33" s="9" t="s">
        <v>143</v>
      </c>
      <c r="C33" s="7">
        <v>50</v>
      </c>
      <c r="D33" s="7">
        <v>19</v>
      </c>
      <c r="E33" s="7">
        <v>48.5</v>
      </c>
      <c r="F33" s="7">
        <v>96.5</v>
      </c>
      <c r="G33" s="7" t="s">
        <v>139</v>
      </c>
      <c r="H33" s="7">
        <v>50</v>
      </c>
      <c r="I33" s="7" t="s">
        <v>120</v>
      </c>
      <c r="J33" s="7">
        <v>50</v>
      </c>
      <c r="K33" s="7" t="s">
        <v>56</v>
      </c>
      <c r="L33" s="7">
        <v>357.67940424769745</v>
      </c>
      <c r="M33" s="7" t="s">
        <v>120</v>
      </c>
      <c r="N33" s="7">
        <v>50</v>
      </c>
      <c r="O33" s="7" t="s">
        <v>56</v>
      </c>
      <c r="P33" s="8">
        <v>357.67940424769745</v>
      </c>
      <c r="V33" s="13">
        <v>48</v>
      </c>
    </row>
    <row r="34" spans="1:22">
      <c r="A34" s="7" t="s">
        <v>144</v>
      </c>
      <c r="B34" s="9" t="s">
        <v>145</v>
      </c>
      <c r="C34" s="7">
        <v>160</v>
      </c>
      <c r="D34" s="7">
        <v>5.2</v>
      </c>
      <c r="E34" s="7">
        <v>48.5</v>
      </c>
      <c r="F34" s="7">
        <v>96.5</v>
      </c>
      <c r="G34" s="7" t="s">
        <v>67</v>
      </c>
      <c r="H34" s="7">
        <v>160</v>
      </c>
      <c r="I34" s="7" t="s">
        <v>146</v>
      </c>
      <c r="J34" s="7">
        <v>160</v>
      </c>
      <c r="K34" s="7" t="s">
        <v>56</v>
      </c>
      <c r="L34" s="7">
        <v>363.36997153160974</v>
      </c>
      <c r="M34" s="7" t="s">
        <v>147</v>
      </c>
      <c r="N34" s="7">
        <v>576</v>
      </c>
      <c r="O34" s="7" t="s">
        <v>148</v>
      </c>
      <c r="P34" s="8">
        <v>363.36997153160974</v>
      </c>
      <c r="V34" s="13">
        <v>48</v>
      </c>
    </row>
    <row r="35" spans="1:22">
      <c r="A35" s="7" t="s">
        <v>149</v>
      </c>
      <c r="B35" s="9" t="s">
        <v>150</v>
      </c>
      <c r="C35" s="7">
        <v>100</v>
      </c>
      <c r="D35" s="7">
        <v>5.2</v>
      </c>
      <c r="E35" s="7">
        <v>48.5</v>
      </c>
      <c r="F35" s="7">
        <v>96.5</v>
      </c>
      <c r="G35" s="7" t="s">
        <v>100</v>
      </c>
      <c r="H35" s="7">
        <v>100</v>
      </c>
      <c r="I35" s="7" t="s">
        <v>151</v>
      </c>
      <c r="J35" s="7">
        <v>360</v>
      </c>
      <c r="K35" s="7" t="s">
        <v>148</v>
      </c>
      <c r="L35" s="7">
        <v>363.36997153160974</v>
      </c>
      <c r="M35" s="7" t="s">
        <v>147</v>
      </c>
      <c r="N35" s="7">
        <v>360</v>
      </c>
      <c r="O35" s="7" t="s">
        <v>148</v>
      </c>
      <c r="P35" s="8">
        <v>363.36997153160974</v>
      </c>
      <c r="V35" s="13">
        <v>48</v>
      </c>
    </row>
    <row r="36" spans="1:22">
      <c r="A36" s="7" t="s">
        <v>152</v>
      </c>
      <c r="B36" s="9" t="s">
        <v>153</v>
      </c>
      <c r="C36" s="7">
        <v>50</v>
      </c>
      <c r="D36" s="7">
        <v>19</v>
      </c>
      <c r="E36" s="7">
        <v>49</v>
      </c>
      <c r="F36" s="7">
        <v>97</v>
      </c>
      <c r="G36" s="7" t="s">
        <v>62</v>
      </c>
      <c r="H36" s="7">
        <v>50</v>
      </c>
      <c r="I36" s="7" t="s">
        <v>154</v>
      </c>
      <c r="J36" s="7">
        <v>50</v>
      </c>
      <c r="K36" s="7" t="s">
        <v>56</v>
      </c>
      <c r="L36" s="7">
        <v>377.59367185401032</v>
      </c>
      <c r="M36" s="7" t="s">
        <v>155</v>
      </c>
      <c r="N36" s="7">
        <v>50</v>
      </c>
      <c r="O36" s="7" t="s">
        <v>56</v>
      </c>
      <c r="P36" s="8">
        <v>377.59367185401032</v>
      </c>
      <c r="V36" s="13">
        <v>48</v>
      </c>
    </row>
    <row r="37" spans="1:22">
      <c r="A37" s="7" t="s">
        <v>156</v>
      </c>
      <c r="B37" s="9" t="s">
        <v>157</v>
      </c>
      <c r="C37" s="7">
        <v>160</v>
      </c>
      <c r="D37" s="7">
        <v>5.2</v>
      </c>
      <c r="E37" s="7">
        <v>48.5</v>
      </c>
      <c r="F37" s="7">
        <v>96.5</v>
      </c>
      <c r="G37" s="7" t="s">
        <v>67</v>
      </c>
      <c r="H37" s="7">
        <v>160</v>
      </c>
      <c r="I37" s="7" t="s">
        <v>158</v>
      </c>
      <c r="J37" s="7">
        <v>160</v>
      </c>
      <c r="K37" s="7" t="s">
        <v>56</v>
      </c>
      <c r="L37" s="7">
        <v>379.88678841941015</v>
      </c>
      <c r="M37" s="7" t="s">
        <v>159</v>
      </c>
      <c r="N37" s="7">
        <v>160</v>
      </c>
      <c r="O37" s="7" t="s">
        <v>56</v>
      </c>
      <c r="P37" s="8">
        <v>379.88678841941015</v>
      </c>
      <c r="V37" s="13">
        <v>48</v>
      </c>
    </row>
    <row r="38" spans="1:22">
      <c r="A38" s="7" t="s">
        <v>160</v>
      </c>
      <c r="B38" s="9" t="s">
        <v>161</v>
      </c>
      <c r="C38" s="7">
        <v>160</v>
      </c>
      <c r="D38" s="7">
        <v>5.2</v>
      </c>
      <c r="E38" s="7">
        <v>48.5</v>
      </c>
      <c r="F38" s="7">
        <v>96.5</v>
      </c>
      <c r="G38" s="7" t="s">
        <v>67</v>
      </c>
      <c r="H38" s="7">
        <v>160</v>
      </c>
      <c r="I38" s="7" t="s">
        <v>158</v>
      </c>
      <c r="J38" s="7">
        <v>160</v>
      </c>
      <c r="K38" s="7" t="s">
        <v>56</v>
      </c>
      <c r="L38" s="7">
        <v>379.88678841941015</v>
      </c>
      <c r="M38" s="7" t="s">
        <v>155</v>
      </c>
      <c r="N38" s="7">
        <v>160</v>
      </c>
      <c r="O38" s="7" t="s">
        <v>56</v>
      </c>
      <c r="P38" s="8">
        <v>379.88678841941015</v>
      </c>
      <c r="V38" s="13">
        <v>48</v>
      </c>
    </row>
    <row r="39" spans="1:22">
      <c r="A39" s="7" t="s">
        <v>162</v>
      </c>
      <c r="B39" s="9" t="s">
        <v>163</v>
      </c>
      <c r="C39" s="7">
        <v>160</v>
      </c>
      <c r="D39" s="7">
        <v>5.2</v>
      </c>
      <c r="E39" s="7">
        <v>48.5</v>
      </c>
      <c r="F39" s="7">
        <v>96.5</v>
      </c>
      <c r="G39" s="7" t="s">
        <v>67</v>
      </c>
      <c r="H39" s="7">
        <v>160</v>
      </c>
      <c r="I39" s="7" t="s">
        <v>158</v>
      </c>
      <c r="J39" s="7">
        <v>160</v>
      </c>
      <c r="K39" s="7" t="s">
        <v>56</v>
      </c>
      <c r="L39" s="7">
        <v>379.88678841941015</v>
      </c>
      <c r="M39" s="7" t="s">
        <v>164</v>
      </c>
      <c r="N39" s="7">
        <v>160</v>
      </c>
      <c r="O39" s="7" t="s">
        <v>56</v>
      </c>
      <c r="P39" s="8">
        <v>379.88678841941015</v>
      </c>
      <c r="V39" s="13">
        <v>48</v>
      </c>
    </row>
    <row r="40" spans="1:22">
      <c r="A40" s="7" t="s">
        <v>165</v>
      </c>
      <c r="B40" s="9" t="s">
        <v>166</v>
      </c>
      <c r="C40" s="7">
        <v>160</v>
      </c>
      <c r="D40" s="7">
        <v>5.2</v>
      </c>
      <c r="E40" s="7">
        <v>48.5</v>
      </c>
      <c r="F40" s="7">
        <v>96.5</v>
      </c>
      <c r="G40" s="7" t="s">
        <v>67</v>
      </c>
      <c r="H40" s="7">
        <v>160</v>
      </c>
      <c r="I40" s="7" t="s">
        <v>167</v>
      </c>
      <c r="J40" s="7">
        <v>160</v>
      </c>
      <c r="K40" s="7" t="s">
        <v>56</v>
      </c>
      <c r="L40" s="7">
        <v>379.88678841941015</v>
      </c>
      <c r="M40" s="7" t="s">
        <v>168</v>
      </c>
      <c r="N40" s="7">
        <v>160</v>
      </c>
      <c r="O40" s="7" t="s">
        <v>56</v>
      </c>
      <c r="P40" s="8">
        <v>379.88678841941015</v>
      </c>
      <c r="V40" s="13">
        <v>48</v>
      </c>
    </row>
    <row r="41" spans="1:22">
      <c r="A41" s="7" t="s">
        <v>169</v>
      </c>
      <c r="B41" s="9" t="s">
        <v>170</v>
      </c>
      <c r="C41" s="7">
        <v>160</v>
      </c>
      <c r="D41" s="7">
        <v>5.2</v>
      </c>
      <c r="E41" s="7">
        <v>48.5</v>
      </c>
      <c r="F41" s="7">
        <v>96.5</v>
      </c>
      <c r="G41" s="7" t="s">
        <v>67</v>
      </c>
      <c r="H41" s="7">
        <v>160</v>
      </c>
      <c r="I41" s="7" t="s">
        <v>171</v>
      </c>
      <c r="J41" s="7">
        <v>160</v>
      </c>
      <c r="K41" s="7" t="s">
        <v>56</v>
      </c>
      <c r="L41" s="7">
        <v>379.88678841941015</v>
      </c>
      <c r="M41" s="7" t="s">
        <v>172</v>
      </c>
      <c r="N41" s="7">
        <v>160</v>
      </c>
      <c r="O41" s="7" t="s">
        <v>56</v>
      </c>
      <c r="P41" s="8">
        <v>379.88678841941015</v>
      </c>
      <c r="V41" s="13">
        <v>48</v>
      </c>
    </row>
    <row r="42" spans="1:22">
      <c r="A42" s="7" t="s">
        <v>173</v>
      </c>
      <c r="B42" s="9" t="s">
        <v>174</v>
      </c>
      <c r="C42" s="7">
        <v>160</v>
      </c>
      <c r="D42" s="7">
        <v>5.2</v>
      </c>
      <c r="E42" s="7">
        <v>48.5</v>
      </c>
      <c r="F42" s="7">
        <v>96.5</v>
      </c>
      <c r="G42" s="7" t="s">
        <v>67</v>
      </c>
      <c r="H42" s="7">
        <v>160</v>
      </c>
      <c r="I42" s="7" t="s">
        <v>175</v>
      </c>
      <c r="J42" s="7">
        <v>160</v>
      </c>
      <c r="K42" s="7" t="s">
        <v>56</v>
      </c>
      <c r="L42" s="7">
        <v>379.88678841941015</v>
      </c>
      <c r="M42" s="7" t="s">
        <v>159</v>
      </c>
      <c r="N42" s="7">
        <v>160</v>
      </c>
      <c r="O42" s="7" t="s">
        <v>56</v>
      </c>
      <c r="P42" s="8">
        <v>379.88678841941015</v>
      </c>
      <c r="V42" s="13">
        <v>48</v>
      </c>
    </row>
    <row r="43" spans="1:22">
      <c r="A43" s="7" t="s">
        <v>176</v>
      </c>
      <c r="B43" s="9" t="s">
        <v>177</v>
      </c>
      <c r="C43" s="7">
        <v>160</v>
      </c>
      <c r="D43" s="7">
        <v>5.2</v>
      </c>
      <c r="E43" s="7">
        <v>48.5</v>
      </c>
      <c r="F43" s="7">
        <v>96.5</v>
      </c>
      <c r="G43" s="7" t="s">
        <v>67</v>
      </c>
      <c r="H43" s="7">
        <v>160</v>
      </c>
      <c r="I43" s="7" t="s">
        <v>154</v>
      </c>
      <c r="J43" s="7">
        <v>160</v>
      </c>
      <c r="K43" s="7" t="s">
        <v>56</v>
      </c>
      <c r="L43" s="7">
        <v>379.88678841941015</v>
      </c>
      <c r="M43" s="7" t="s">
        <v>178</v>
      </c>
      <c r="N43" s="7">
        <v>160</v>
      </c>
      <c r="O43" s="7" t="s">
        <v>56</v>
      </c>
      <c r="P43" s="8">
        <v>379.88678841941015</v>
      </c>
      <c r="V43" s="13">
        <v>48</v>
      </c>
    </row>
    <row r="44" spans="1:22">
      <c r="A44" s="7" t="s">
        <v>179</v>
      </c>
      <c r="B44" s="9" t="s">
        <v>180</v>
      </c>
      <c r="C44" s="7">
        <v>160</v>
      </c>
      <c r="D44" s="7">
        <v>5.2</v>
      </c>
      <c r="E44" s="7">
        <v>48.5</v>
      </c>
      <c r="F44" s="7">
        <v>96.5</v>
      </c>
      <c r="G44" s="7" t="s">
        <v>67</v>
      </c>
      <c r="H44" s="7">
        <v>160</v>
      </c>
      <c r="I44" s="7" t="s">
        <v>171</v>
      </c>
      <c r="J44" s="7">
        <v>160</v>
      </c>
      <c r="K44" s="7" t="s">
        <v>56</v>
      </c>
      <c r="L44" s="7">
        <v>379.88678841941015</v>
      </c>
      <c r="M44" s="7" t="s">
        <v>181</v>
      </c>
      <c r="N44" s="7">
        <v>160</v>
      </c>
      <c r="O44" s="7" t="s">
        <v>56</v>
      </c>
      <c r="P44" s="8">
        <v>379.88678841941015</v>
      </c>
      <c r="V44" s="13">
        <v>48</v>
      </c>
    </row>
    <row r="45" spans="1:22">
      <c r="A45" s="7" t="s">
        <v>182</v>
      </c>
      <c r="B45" s="9" t="s">
        <v>183</v>
      </c>
      <c r="C45" s="7">
        <v>160</v>
      </c>
      <c r="D45" s="7">
        <v>5.2</v>
      </c>
      <c r="E45" s="7">
        <v>48.5</v>
      </c>
      <c r="F45" s="7">
        <v>96.5</v>
      </c>
      <c r="G45" s="7" t="s">
        <v>67</v>
      </c>
      <c r="H45" s="7">
        <v>160</v>
      </c>
      <c r="I45" s="7" t="s">
        <v>175</v>
      </c>
      <c r="J45" s="7">
        <v>160</v>
      </c>
      <c r="K45" s="7" t="s">
        <v>56</v>
      </c>
      <c r="L45" s="7">
        <v>379.88678841941015</v>
      </c>
      <c r="M45" s="7" t="s">
        <v>155</v>
      </c>
      <c r="N45" s="7">
        <v>160</v>
      </c>
      <c r="O45" s="7" t="s">
        <v>56</v>
      </c>
      <c r="P45" s="8">
        <v>379.88678841941015</v>
      </c>
      <c r="V45" s="13">
        <v>48</v>
      </c>
    </row>
    <row r="46" spans="1:22">
      <c r="A46" s="7" t="s">
        <v>184</v>
      </c>
      <c r="B46" s="9" t="s">
        <v>185</v>
      </c>
      <c r="C46" s="7">
        <v>160</v>
      </c>
      <c r="D46" s="7">
        <v>5.2</v>
      </c>
      <c r="E46" s="7">
        <v>48.5</v>
      </c>
      <c r="F46" s="7">
        <v>96.5</v>
      </c>
      <c r="G46" s="7" t="s">
        <v>67</v>
      </c>
      <c r="H46" s="7">
        <v>160</v>
      </c>
      <c r="I46" s="7" t="s">
        <v>164</v>
      </c>
      <c r="J46" s="7">
        <v>160</v>
      </c>
      <c r="K46" s="7" t="s">
        <v>56</v>
      </c>
      <c r="L46" s="7">
        <v>379.88678841941015</v>
      </c>
      <c r="M46" s="7" t="s">
        <v>155</v>
      </c>
      <c r="N46" s="7">
        <v>160</v>
      </c>
      <c r="O46" s="7" t="s">
        <v>56</v>
      </c>
      <c r="P46" s="8">
        <v>379.88678841941015</v>
      </c>
      <c r="V46" s="13">
        <v>48</v>
      </c>
    </row>
    <row r="47" spans="1:22">
      <c r="A47" s="7" t="s">
        <v>186</v>
      </c>
      <c r="B47" s="9" t="s">
        <v>187</v>
      </c>
      <c r="C47" s="7">
        <v>160</v>
      </c>
      <c r="D47" s="7">
        <v>5.2</v>
      </c>
      <c r="E47" s="7">
        <v>48.5</v>
      </c>
      <c r="F47" s="7">
        <v>96.5</v>
      </c>
      <c r="G47" s="7" t="s">
        <v>67</v>
      </c>
      <c r="H47" s="7">
        <v>160</v>
      </c>
      <c r="I47" s="7" t="s">
        <v>154</v>
      </c>
      <c r="J47" s="7">
        <v>160</v>
      </c>
      <c r="K47" s="7" t="s">
        <v>56</v>
      </c>
      <c r="L47" s="7">
        <v>379.88678841941015</v>
      </c>
      <c r="M47" s="7" t="s">
        <v>154</v>
      </c>
      <c r="N47" s="7">
        <v>160</v>
      </c>
      <c r="O47" s="7" t="s">
        <v>56</v>
      </c>
      <c r="P47" s="8">
        <v>379.88678841941015</v>
      </c>
      <c r="V47" s="13">
        <v>48</v>
      </c>
    </row>
    <row r="48" spans="1:22">
      <c r="A48" s="7" t="s">
        <v>188</v>
      </c>
      <c r="B48" s="9" t="s">
        <v>189</v>
      </c>
      <c r="C48" s="7">
        <v>100</v>
      </c>
      <c r="D48" s="7">
        <v>9</v>
      </c>
      <c r="E48" s="7">
        <v>48.5</v>
      </c>
      <c r="F48" s="7">
        <v>96.5</v>
      </c>
      <c r="G48" s="7" t="s">
        <v>190</v>
      </c>
      <c r="H48" s="7">
        <v>100</v>
      </c>
      <c r="I48" s="7" t="s">
        <v>164</v>
      </c>
      <c r="J48" s="7">
        <v>100</v>
      </c>
      <c r="K48" s="7" t="s">
        <v>56</v>
      </c>
      <c r="L48" s="7">
        <v>379.88678841941015</v>
      </c>
      <c r="M48" s="7" t="s">
        <v>159</v>
      </c>
      <c r="N48" s="7">
        <v>100</v>
      </c>
      <c r="O48" s="7" t="s">
        <v>56</v>
      </c>
      <c r="P48" s="8">
        <v>379.88678841941015</v>
      </c>
      <c r="V48" s="13">
        <v>48</v>
      </c>
    </row>
    <row r="49" spans="1:22">
      <c r="A49" s="7" t="s">
        <v>191</v>
      </c>
      <c r="B49" s="9" t="s">
        <v>192</v>
      </c>
      <c r="C49" s="7">
        <v>100</v>
      </c>
      <c r="D49" s="7">
        <v>9.5</v>
      </c>
      <c r="E49" s="7">
        <v>48.5</v>
      </c>
      <c r="F49" s="7">
        <v>96.5</v>
      </c>
      <c r="G49" s="7" t="s">
        <v>193</v>
      </c>
      <c r="H49" s="7">
        <v>100</v>
      </c>
      <c r="I49" s="7" t="s">
        <v>154</v>
      </c>
      <c r="J49" s="7">
        <v>100</v>
      </c>
      <c r="K49" s="7" t="s">
        <v>56</v>
      </c>
      <c r="L49" s="7">
        <v>379.88678841941015</v>
      </c>
      <c r="M49" s="7" t="s">
        <v>194</v>
      </c>
      <c r="N49" s="7">
        <v>100</v>
      </c>
      <c r="O49" s="7" t="s">
        <v>56</v>
      </c>
      <c r="P49" s="8">
        <v>379.88678841941015</v>
      </c>
      <c r="V49" s="13">
        <v>48</v>
      </c>
    </row>
    <row r="50" spans="1:22">
      <c r="A50" s="7" t="s">
        <v>195</v>
      </c>
      <c r="B50" s="9" t="s">
        <v>196</v>
      </c>
      <c r="C50" s="7">
        <v>45</v>
      </c>
      <c r="D50" s="7">
        <v>19</v>
      </c>
      <c r="E50" s="7">
        <v>48.5</v>
      </c>
      <c r="F50" s="7">
        <v>120.5</v>
      </c>
      <c r="G50" s="7" t="s">
        <v>197</v>
      </c>
      <c r="H50" s="7">
        <v>45</v>
      </c>
      <c r="I50" s="7" t="s">
        <v>198</v>
      </c>
      <c r="J50" s="7">
        <v>45</v>
      </c>
      <c r="K50" s="7" t="s">
        <v>56</v>
      </c>
      <c r="L50" s="7">
        <v>473.74117144067628</v>
      </c>
      <c r="M50" s="7" t="s">
        <v>199</v>
      </c>
      <c r="N50" s="7">
        <v>45</v>
      </c>
      <c r="O50" s="7" t="s">
        <v>56</v>
      </c>
      <c r="P50" s="8">
        <v>473.74117144067628</v>
      </c>
      <c r="V50" s="13">
        <v>48</v>
      </c>
    </row>
    <row r="51" spans="1:22">
      <c r="A51" s="7" t="s">
        <v>200</v>
      </c>
      <c r="B51" s="9" t="s">
        <v>201</v>
      </c>
      <c r="C51" s="7">
        <v>46</v>
      </c>
      <c r="D51" s="7">
        <v>19</v>
      </c>
      <c r="E51" s="7">
        <v>48.5</v>
      </c>
      <c r="F51" s="7">
        <v>96.5</v>
      </c>
      <c r="G51" s="7" t="s">
        <v>202</v>
      </c>
      <c r="H51" s="7">
        <v>46</v>
      </c>
      <c r="I51" s="7" t="s">
        <v>154</v>
      </c>
      <c r="J51" s="7">
        <v>46</v>
      </c>
      <c r="K51" s="7" t="s">
        <v>56</v>
      </c>
      <c r="L51" s="7">
        <v>379.88678841941015</v>
      </c>
      <c r="M51" s="7" t="s">
        <v>178</v>
      </c>
      <c r="N51" s="7">
        <v>46</v>
      </c>
      <c r="O51" s="7" t="s">
        <v>56</v>
      </c>
      <c r="P51" s="8">
        <v>379.88678841941015</v>
      </c>
      <c r="V51" s="13">
        <v>48</v>
      </c>
    </row>
    <row r="52" spans="1:22">
      <c r="A52" s="7" t="s">
        <v>203</v>
      </c>
      <c r="B52" s="9" t="s">
        <v>204</v>
      </c>
      <c r="C52" s="7">
        <v>50</v>
      </c>
      <c r="D52" s="7">
        <v>18</v>
      </c>
      <c r="E52" s="7">
        <v>48.5</v>
      </c>
      <c r="F52" s="7">
        <v>96.5</v>
      </c>
      <c r="G52" s="7" t="s">
        <v>205</v>
      </c>
      <c r="H52" s="7">
        <v>50</v>
      </c>
      <c r="I52" s="7" t="s">
        <v>164</v>
      </c>
      <c r="J52" s="7">
        <v>50</v>
      </c>
      <c r="K52" s="7" t="s">
        <v>56</v>
      </c>
      <c r="L52" s="7">
        <v>379.88678841941015</v>
      </c>
      <c r="M52" s="7" t="s">
        <v>105</v>
      </c>
      <c r="N52" s="7">
        <v>50</v>
      </c>
      <c r="O52" s="7" t="s">
        <v>56</v>
      </c>
      <c r="P52" s="8">
        <v>363.36997153160974</v>
      </c>
      <c r="V52" s="13">
        <v>48</v>
      </c>
    </row>
    <row r="53" spans="1:22">
      <c r="A53" s="7" t="s">
        <v>206</v>
      </c>
      <c r="B53" s="9" t="s">
        <v>207</v>
      </c>
      <c r="C53" s="7">
        <v>160</v>
      </c>
      <c r="D53" s="7">
        <v>5.2</v>
      </c>
      <c r="E53" s="7">
        <v>48.5</v>
      </c>
      <c r="F53" s="7">
        <v>96.5</v>
      </c>
      <c r="G53" s="7" t="s">
        <v>67</v>
      </c>
      <c r="H53" s="7">
        <v>160</v>
      </c>
      <c r="I53" s="7" t="s">
        <v>208</v>
      </c>
      <c r="J53" s="7">
        <v>160</v>
      </c>
      <c r="K53" s="7" t="s">
        <v>56</v>
      </c>
      <c r="L53" s="7">
        <v>355.1115630877095</v>
      </c>
      <c r="M53" s="7" t="s">
        <v>209</v>
      </c>
      <c r="N53" s="7">
        <v>160</v>
      </c>
      <c r="O53" s="7" t="s">
        <v>56</v>
      </c>
      <c r="P53" s="8">
        <v>355.1115630877095</v>
      </c>
      <c r="V53" s="13">
        <v>48</v>
      </c>
    </row>
    <row r="54" spans="1:22">
      <c r="A54" s="7" t="s">
        <v>210</v>
      </c>
      <c r="B54" s="9" t="s">
        <v>211</v>
      </c>
      <c r="C54" s="7">
        <v>160</v>
      </c>
      <c r="D54" s="7">
        <v>5.2</v>
      </c>
      <c r="E54" s="7">
        <v>48.5</v>
      </c>
      <c r="F54" s="7">
        <v>96.5</v>
      </c>
      <c r="G54" s="7" t="s">
        <v>100</v>
      </c>
      <c r="H54" s="7">
        <v>160</v>
      </c>
      <c r="I54" s="7" t="s">
        <v>212</v>
      </c>
      <c r="J54" s="7">
        <v>576</v>
      </c>
      <c r="K54" s="7" t="s">
        <v>102</v>
      </c>
      <c r="L54" s="7">
        <v>330.33633775600885</v>
      </c>
      <c r="M54" s="7" t="s">
        <v>213</v>
      </c>
      <c r="N54" s="7">
        <v>576</v>
      </c>
      <c r="O54" s="7" t="s">
        <v>102</v>
      </c>
      <c r="P54" s="8">
        <v>330.33633775600885</v>
      </c>
      <c r="V54" s="13">
        <v>48</v>
      </c>
    </row>
    <row r="55" spans="1:22">
      <c r="A55" s="7" t="s">
        <v>214</v>
      </c>
      <c r="B55" s="9" t="s">
        <v>215</v>
      </c>
      <c r="C55" s="7">
        <v>100</v>
      </c>
      <c r="D55" s="7">
        <v>5.2</v>
      </c>
      <c r="E55" s="7">
        <v>48.5</v>
      </c>
      <c r="F55" s="7">
        <v>96.5</v>
      </c>
      <c r="G55" s="7" t="s">
        <v>100</v>
      </c>
      <c r="H55" s="7">
        <v>100</v>
      </c>
      <c r="I55" s="7" t="s">
        <v>212</v>
      </c>
      <c r="J55" s="7">
        <v>360</v>
      </c>
      <c r="K55" s="7" t="s">
        <v>102</v>
      </c>
      <c r="L55" s="7">
        <v>330.33633775600885</v>
      </c>
      <c r="M55" s="7" t="s">
        <v>213</v>
      </c>
      <c r="N55" s="7">
        <v>360</v>
      </c>
      <c r="O55" s="7" t="s">
        <v>102</v>
      </c>
      <c r="P55" s="8">
        <v>330.33633775600885</v>
      </c>
      <c r="V55" s="13">
        <v>48</v>
      </c>
    </row>
    <row r="56" spans="1:22">
      <c r="A56" s="7" t="s">
        <v>216</v>
      </c>
      <c r="B56" s="9" t="s">
        <v>217</v>
      </c>
      <c r="C56" s="7">
        <v>160</v>
      </c>
      <c r="D56" s="7">
        <v>5.2</v>
      </c>
      <c r="E56" s="7">
        <v>48.5</v>
      </c>
      <c r="F56" s="7">
        <v>96.5</v>
      </c>
      <c r="G56" s="7" t="s">
        <v>67</v>
      </c>
      <c r="H56" s="7">
        <v>160</v>
      </c>
      <c r="I56" s="7" t="s">
        <v>218</v>
      </c>
      <c r="J56" s="7">
        <v>160</v>
      </c>
      <c r="K56" s="7" t="s">
        <v>56</v>
      </c>
      <c r="L56" s="7">
        <v>355.1115630877095</v>
      </c>
      <c r="M56" s="7" t="s">
        <v>209</v>
      </c>
      <c r="N56" s="7">
        <v>160</v>
      </c>
      <c r="O56" s="7" t="s">
        <v>56</v>
      </c>
      <c r="P56" s="8">
        <v>355.1115630877095</v>
      </c>
      <c r="V56" s="13">
        <v>48</v>
      </c>
    </row>
    <row r="57" spans="1:22">
      <c r="A57" s="7" t="s">
        <v>219</v>
      </c>
      <c r="B57" s="9" t="s">
        <v>220</v>
      </c>
      <c r="C57" s="7">
        <v>100</v>
      </c>
      <c r="D57" s="7">
        <v>5.2</v>
      </c>
      <c r="E57" s="7">
        <v>48.5</v>
      </c>
      <c r="F57" s="7">
        <v>96.5</v>
      </c>
      <c r="G57" s="7" t="s">
        <v>100</v>
      </c>
      <c r="H57" s="7">
        <v>100</v>
      </c>
      <c r="I57" s="7" t="s">
        <v>221</v>
      </c>
      <c r="J57" s="7">
        <v>360</v>
      </c>
      <c r="K57" s="7" t="s">
        <v>102</v>
      </c>
      <c r="L57" s="7">
        <v>330.33633775600885</v>
      </c>
      <c r="M57" s="7" t="s">
        <v>213</v>
      </c>
      <c r="N57" s="7">
        <v>360</v>
      </c>
      <c r="O57" s="7" t="s">
        <v>102</v>
      </c>
      <c r="P57" s="8">
        <v>330.33633775600885</v>
      </c>
      <c r="V57" s="13">
        <v>48</v>
      </c>
    </row>
    <row r="58" spans="1:22">
      <c r="A58" s="7" t="s">
        <v>222</v>
      </c>
      <c r="B58" s="9" t="s">
        <v>223</v>
      </c>
      <c r="C58" s="7">
        <v>170</v>
      </c>
      <c r="D58" s="7">
        <v>5.2</v>
      </c>
      <c r="E58" s="7">
        <v>48.5</v>
      </c>
      <c r="F58" s="7">
        <v>96.5</v>
      </c>
      <c r="G58" s="7" t="s">
        <v>100</v>
      </c>
      <c r="H58" s="7">
        <v>170</v>
      </c>
      <c r="I58" s="7" t="s">
        <v>221</v>
      </c>
      <c r="J58" s="7">
        <v>612</v>
      </c>
      <c r="K58" s="7" t="s">
        <v>102</v>
      </c>
      <c r="L58" s="7">
        <v>330.33633775600885</v>
      </c>
      <c r="M58" s="7" t="s">
        <v>224</v>
      </c>
      <c r="N58" s="7">
        <v>170</v>
      </c>
      <c r="O58" s="7" t="s">
        <v>225</v>
      </c>
      <c r="P58" s="8">
        <v>330.33633775600885</v>
      </c>
      <c r="V58" s="13">
        <v>48</v>
      </c>
    </row>
    <row r="59" spans="1:22">
      <c r="A59" s="7" t="s">
        <v>226</v>
      </c>
      <c r="B59" s="9" t="s">
        <v>227</v>
      </c>
      <c r="C59" s="7">
        <v>160</v>
      </c>
      <c r="D59" s="7">
        <v>5.2</v>
      </c>
      <c r="E59" s="7">
        <v>48.5</v>
      </c>
      <c r="F59" s="7">
        <v>96.5</v>
      </c>
      <c r="G59" s="7" t="s">
        <v>67</v>
      </c>
      <c r="H59" s="7">
        <v>160</v>
      </c>
      <c r="I59" s="7" t="s">
        <v>228</v>
      </c>
      <c r="J59" s="7">
        <v>160</v>
      </c>
      <c r="K59" s="7" t="s">
        <v>56</v>
      </c>
      <c r="L59" s="7">
        <v>355.1115630877095</v>
      </c>
      <c r="M59" s="7" t="s">
        <v>209</v>
      </c>
      <c r="N59" s="7">
        <v>160</v>
      </c>
      <c r="O59" s="7" t="s">
        <v>56</v>
      </c>
      <c r="P59" s="8">
        <v>355.1115630877095</v>
      </c>
      <c r="V59" s="13">
        <v>48</v>
      </c>
    </row>
    <row r="60" spans="1:22">
      <c r="A60" s="7" t="s">
        <v>229</v>
      </c>
      <c r="B60" s="9" t="s">
        <v>230</v>
      </c>
      <c r="C60" s="7">
        <v>160</v>
      </c>
      <c r="D60" s="7">
        <v>5.2</v>
      </c>
      <c r="E60" s="7">
        <v>48.5</v>
      </c>
      <c r="F60" s="7">
        <v>96.5</v>
      </c>
      <c r="G60" s="7" t="s">
        <v>67</v>
      </c>
      <c r="H60" s="7">
        <v>160</v>
      </c>
      <c r="I60" s="7" t="s">
        <v>228</v>
      </c>
      <c r="J60" s="7">
        <v>160</v>
      </c>
      <c r="K60" s="7" t="s">
        <v>56</v>
      </c>
      <c r="L60" s="7">
        <v>355.1115630877095</v>
      </c>
      <c r="M60" s="7" t="s">
        <v>231</v>
      </c>
      <c r="N60" s="7">
        <v>160</v>
      </c>
      <c r="O60" s="7" t="s">
        <v>232</v>
      </c>
      <c r="P60" s="8">
        <v>330.33633775600885</v>
      </c>
      <c r="V60" s="13">
        <v>48</v>
      </c>
    </row>
    <row r="61" spans="1:22">
      <c r="A61" s="7" t="s">
        <v>233</v>
      </c>
      <c r="B61" s="9" t="s">
        <v>234</v>
      </c>
      <c r="C61" s="7">
        <v>160</v>
      </c>
      <c r="D61" s="7">
        <v>5.2</v>
      </c>
      <c r="E61" s="7">
        <v>48.5</v>
      </c>
      <c r="F61" s="7">
        <v>96.5</v>
      </c>
      <c r="G61" s="7" t="s">
        <v>67</v>
      </c>
      <c r="H61" s="7">
        <v>160</v>
      </c>
      <c r="I61" s="7" t="s">
        <v>235</v>
      </c>
      <c r="J61" s="7">
        <v>160</v>
      </c>
      <c r="K61" s="7" t="s">
        <v>56</v>
      </c>
      <c r="L61" s="7">
        <v>363.36997153160974</v>
      </c>
      <c r="M61" s="7" t="s">
        <v>236</v>
      </c>
      <c r="N61" s="7">
        <v>160</v>
      </c>
      <c r="O61" s="7" t="s">
        <v>56</v>
      </c>
      <c r="P61" s="8">
        <v>363.36997153160974</v>
      </c>
      <c r="V61" s="13">
        <v>48</v>
      </c>
    </row>
    <row r="62" spans="1:22">
      <c r="A62" s="7" t="s">
        <v>237</v>
      </c>
      <c r="B62" s="9" t="s">
        <v>238</v>
      </c>
      <c r="C62" s="7">
        <v>160</v>
      </c>
      <c r="D62" s="7">
        <v>5.2</v>
      </c>
      <c r="E62" s="7">
        <v>48.5</v>
      </c>
      <c r="F62" s="7">
        <v>96.5</v>
      </c>
      <c r="G62" s="7" t="s">
        <v>67</v>
      </c>
      <c r="H62" s="7">
        <v>160</v>
      </c>
      <c r="I62" s="7" t="s">
        <v>235</v>
      </c>
      <c r="J62" s="7">
        <v>160</v>
      </c>
      <c r="K62" s="7" t="s">
        <v>56</v>
      </c>
      <c r="L62" s="7">
        <v>363.36997153160974</v>
      </c>
      <c r="M62" s="7" t="s">
        <v>239</v>
      </c>
      <c r="N62" s="7">
        <v>160</v>
      </c>
      <c r="O62" s="7" t="s">
        <v>56</v>
      </c>
      <c r="P62" s="8">
        <v>363.36997153160974</v>
      </c>
      <c r="V62" s="13">
        <v>48</v>
      </c>
    </row>
    <row r="63" spans="1:22">
      <c r="A63" s="7" t="s">
        <v>240</v>
      </c>
      <c r="B63" s="9" t="s">
        <v>241</v>
      </c>
      <c r="C63" s="7">
        <v>170</v>
      </c>
      <c r="D63" s="7">
        <v>5.2</v>
      </c>
      <c r="E63" s="7">
        <v>48</v>
      </c>
      <c r="F63" s="7">
        <v>96</v>
      </c>
      <c r="G63" s="7" t="s">
        <v>242</v>
      </c>
      <c r="H63" s="7">
        <v>170</v>
      </c>
      <c r="I63" s="7" t="s">
        <v>243</v>
      </c>
      <c r="J63" s="7">
        <v>612</v>
      </c>
      <c r="K63" s="7" t="s">
        <v>244</v>
      </c>
      <c r="L63" s="7">
        <v>357.67940424769745</v>
      </c>
      <c r="M63" s="7" t="s">
        <v>224</v>
      </c>
      <c r="N63" s="7">
        <v>170</v>
      </c>
      <c r="O63" s="7" t="s">
        <v>225</v>
      </c>
      <c r="P63" s="8">
        <v>357.67940424769745</v>
      </c>
      <c r="V63" s="13">
        <v>48</v>
      </c>
    </row>
    <row r="64" spans="1:22">
      <c r="A64" s="7" t="s">
        <v>245</v>
      </c>
      <c r="B64" s="9" t="s">
        <v>246</v>
      </c>
      <c r="C64" s="7">
        <v>100</v>
      </c>
      <c r="D64" s="7">
        <v>5.2</v>
      </c>
      <c r="E64" s="7">
        <v>48.5</v>
      </c>
      <c r="F64" s="7">
        <v>96.5</v>
      </c>
      <c r="G64" s="7" t="s">
        <v>100</v>
      </c>
      <c r="H64" s="7">
        <v>100</v>
      </c>
      <c r="I64" s="7" t="s">
        <v>243</v>
      </c>
      <c r="J64" s="7">
        <v>360</v>
      </c>
      <c r="K64" s="7" t="s">
        <v>244</v>
      </c>
      <c r="L64" s="7">
        <v>363.36997153160974</v>
      </c>
      <c r="M64" s="7" t="s">
        <v>247</v>
      </c>
      <c r="N64" s="7">
        <v>360</v>
      </c>
      <c r="O64" s="7" t="s">
        <v>244</v>
      </c>
      <c r="P64" s="8">
        <v>363.36997153160974</v>
      </c>
      <c r="V64" s="13">
        <v>48</v>
      </c>
    </row>
    <row r="65" spans="1:22">
      <c r="A65" s="7" t="s">
        <v>248</v>
      </c>
      <c r="B65" s="9" t="s">
        <v>249</v>
      </c>
      <c r="C65" s="7">
        <v>160</v>
      </c>
      <c r="D65" s="7">
        <v>5.2</v>
      </c>
      <c r="E65" s="7">
        <v>48.5</v>
      </c>
      <c r="F65" s="7">
        <v>96.5</v>
      </c>
      <c r="G65" s="7" t="s">
        <v>67</v>
      </c>
      <c r="H65" s="7">
        <v>160</v>
      </c>
      <c r="I65" s="7" t="s">
        <v>250</v>
      </c>
      <c r="J65" s="7">
        <v>160</v>
      </c>
      <c r="K65" s="7" t="s">
        <v>56</v>
      </c>
      <c r="L65" s="7">
        <v>363.36997153160974</v>
      </c>
      <c r="M65" s="7" t="s">
        <v>231</v>
      </c>
      <c r="N65" s="7">
        <v>160</v>
      </c>
      <c r="O65" s="7" t="s">
        <v>232</v>
      </c>
      <c r="P65" s="8">
        <v>330.33633775600885</v>
      </c>
      <c r="V65" s="13">
        <v>48</v>
      </c>
    </row>
    <row r="66" spans="1:22">
      <c r="A66" s="7" t="s">
        <v>251</v>
      </c>
      <c r="B66" s="9" t="s">
        <v>252</v>
      </c>
      <c r="C66" s="7">
        <v>160</v>
      </c>
      <c r="D66" s="7">
        <v>5.2</v>
      </c>
      <c r="E66" s="7">
        <v>48.5</v>
      </c>
      <c r="F66" s="7">
        <v>96.5</v>
      </c>
      <c r="G66" s="7" t="s">
        <v>67</v>
      </c>
      <c r="H66" s="7">
        <v>160</v>
      </c>
      <c r="I66" s="7" t="s">
        <v>253</v>
      </c>
      <c r="J66" s="7">
        <v>160</v>
      </c>
      <c r="K66" s="7" t="s">
        <v>56</v>
      </c>
      <c r="L66" s="7">
        <v>363.36997153160974</v>
      </c>
      <c r="M66" s="7" t="s">
        <v>254</v>
      </c>
      <c r="N66" s="7">
        <v>160</v>
      </c>
      <c r="O66" s="7" t="s">
        <v>56</v>
      </c>
      <c r="P66" s="8">
        <v>363.36997153160974</v>
      </c>
      <c r="V66" s="13">
        <v>48</v>
      </c>
    </row>
    <row r="67" spans="1:22">
      <c r="A67" s="7" t="s">
        <v>255</v>
      </c>
      <c r="B67" s="9" t="s">
        <v>256</v>
      </c>
      <c r="C67" s="7">
        <v>50</v>
      </c>
      <c r="D67" s="7">
        <v>19</v>
      </c>
      <c r="E67" s="7">
        <v>48.5</v>
      </c>
      <c r="F67" s="7">
        <v>96.5</v>
      </c>
      <c r="G67" s="7" t="s">
        <v>134</v>
      </c>
      <c r="H67" s="7">
        <v>50</v>
      </c>
      <c r="I67" s="7" t="s">
        <v>257</v>
      </c>
      <c r="J67" s="7">
        <v>50</v>
      </c>
      <c r="K67" s="7" t="s">
        <v>258</v>
      </c>
      <c r="L67" s="7">
        <v>379.88678841941015</v>
      </c>
      <c r="M67" s="7" t="s">
        <v>259</v>
      </c>
      <c r="N67" s="7">
        <v>50</v>
      </c>
      <c r="O67" s="7" t="s">
        <v>258</v>
      </c>
      <c r="P67" s="8">
        <v>379.88678841941015</v>
      </c>
      <c r="V67" s="13">
        <v>48</v>
      </c>
    </row>
    <row r="68" spans="1:22">
      <c r="A68" s="7" t="s">
        <v>260</v>
      </c>
      <c r="B68" s="9" t="s">
        <v>261</v>
      </c>
      <c r="C68" s="7">
        <v>160</v>
      </c>
      <c r="D68" s="7">
        <v>5.2</v>
      </c>
      <c r="E68" s="7">
        <v>48.5</v>
      </c>
      <c r="F68" s="7">
        <v>96.5</v>
      </c>
      <c r="G68" s="7" t="s">
        <v>67</v>
      </c>
      <c r="H68" s="7">
        <v>160</v>
      </c>
      <c r="I68" s="7" t="s">
        <v>262</v>
      </c>
      <c r="J68" s="7">
        <v>160</v>
      </c>
      <c r="K68" s="7" t="s">
        <v>56</v>
      </c>
      <c r="L68" s="7">
        <v>363.36997153160974</v>
      </c>
      <c r="M68" s="7" t="s">
        <v>263</v>
      </c>
      <c r="N68" s="7">
        <v>160</v>
      </c>
      <c r="O68" s="7" t="s">
        <v>56</v>
      </c>
      <c r="P68" s="8">
        <v>363.36997153160974</v>
      </c>
      <c r="V68" s="13">
        <v>48</v>
      </c>
    </row>
    <row r="69" spans="1:22">
      <c r="A69" s="7" t="s">
        <v>264</v>
      </c>
      <c r="B69" s="9" t="s">
        <v>265</v>
      </c>
      <c r="C69" s="7">
        <v>160</v>
      </c>
      <c r="D69" s="7">
        <v>5.2</v>
      </c>
      <c r="E69" s="7">
        <v>48.5</v>
      </c>
      <c r="F69" s="7">
        <v>96.5</v>
      </c>
      <c r="G69" s="7" t="s">
        <v>67</v>
      </c>
      <c r="H69" s="7">
        <v>160</v>
      </c>
      <c r="I69" s="7" t="s">
        <v>266</v>
      </c>
      <c r="J69" s="7">
        <v>160</v>
      </c>
      <c r="K69" s="7" t="s">
        <v>56</v>
      </c>
      <c r="L69" s="7">
        <v>363.36997153160974</v>
      </c>
      <c r="M69" s="7" t="s">
        <v>267</v>
      </c>
      <c r="N69" s="7">
        <v>160</v>
      </c>
      <c r="O69" s="7" t="s">
        <v>56</v>
      </c>
      <c r="P69" s="8">
        <v>363.36997153160974</v>
      </c>
      <c r="V69" s="13">
        <v>48</v>
      </c>
    </row>
    <row r="70" spans="1:22">
      <c r="A70" s="7" t="s">
        <v>268</v>
      </c>
      <c r="B70" s="9" t="s">
        <v>269</v>
      </c>
      <c r="C70" s="7">
        <v>160</v>
      </c>
      <c r="D70" s="7">
        <v>5.2</v>
      </c>
      <c r="E70" s="7">
        <v>48</v>
      </c>
      <c r="F70" s="7">
        <v>96</v>
      </c>
      <c r="G70" s="7" t="s">
        <v>242</v>
      </c>
      <c r="H70" s="7">
        <v>160</v>
      </c>
      <c r="I70" s="7" t="s">
        <v>270</v>
      </c>
      <c r="J70" s="7">
        <v>576</v>
      </c>
      <c r="K70" s="7" t="s">
        <v>102</v>
      </c>
      <c r="L70" s="7">
        <v>325.16309477063402</v>
      </c>
      <c r="M70" s="7" t="s">
        <v>271</v>
      </c>
      <c r="N70" s="7">
        <v>160</v>
      </c>
      <c r="O70" s="7" t="s">
        <v>225</v>
      </c>
      <c r="P70" s="8">
        <v>325.16309477063402</v>
      </c>
      <c r="V70" s="13">
        <v>48</v>
      </c>
    </row>
    <row r="71" spans="1:22">
      <c r="A71" s="7" t="s">
        <v>272</v>
      </c>
      <c r="B71" s="9" t="s">
        <v>273</v>
      </c>
      <c r="C71" s="7">
        <v>160</v>
      </c>
      <c r="D71" s="7">
        <v>5.2</v>
      </c>
      <c r="E71" s="7">
        <v>48.5</v>
      </c>
      <c r="F71" s="7">
        <v>96.5</v>
      </c>
      <c r="G71" s="7" t="s">
        <v>67</v>
      </c>
      <c r="H71" s="7">
        <v>160</v>
      </c>
      <c r="I71" s="7" t="s">
        <v>274</v>
      </c>
      <c r="J71" s="7">
        <v>160</v>
      </c>
      <c r="K71" s="7" t="s">
        <v>56</v>
      </c>
      <c r="L71" s="7">
        <v>363.36997153160974</v>
      </c>
      <c r="M71" s="7" t="s">
        <v>275</v>
      </c>
      <c r="N71" s="7">
        <v>160</v>
      </c>
      <c r="O71" s="7" t="s">
        <v>56</v>
      </c>
      <c r="P71" s="8">
        <v>363.36997153160974</v>
      </c>
      <c r="V71" s="13">
        <v>48</v>
      </c>
    </row>
    <row r="72" spans="1:22">
      <c r="A72" s="7" t="s">
        <v>276</v>
      </c>
      <c r="B72" s="9" t="s">
        <v>277</v>
      </c>
      <c r="C72" s="7">
        <v>160</v>
      </c>
      <c r="D72" s="7">
        <v>5.2</v>
      </c>
      <c r="E72" s="7">
        <v>48.5</v>
      </c>
      <c r="F72" s="7">
        <v>96.5</v>
      </c>
      <c r="G72" s="7" t="s">
        <v>67</v>
      </c>
      <c r="H72" s="7">
        <v>160</v>
      </c>
      <c r="I72" s="7" t="s">
        <v>266</v>
      </c>
      <c r="J72" s="7">
        <v>160</v>
      </c>
      <c r="K72" s="7" t="s">
        <v>56</v>
      </c>
      <c r="L72" s="7">
        <v>363.36997153160974</v>
      </c>
      <c r="M72" s="7" t="s">
        <v>278</v>
      </c>
      <c r="N72" s="7">
        <v>160</v>
      </c>
      <c r="O72" s="7" t="s">
        <v>56</v>
      </c>
      <c r="P72" s="8">
        <v>363.36997153160974</v>
      </c>
      <c r="V72" s="13">
        <v>48</v>
      </c>
    </row>
    <row r="73" spans="1:22">
      <c r="A73" s="7" t="s">
        <v>279</v>
      </c>
      <c r="B73" s="9" t="s">
        <v>280</v>
      </c>
      <c r="C73" s="7">
        <v>100</v>
      </c>
      <c r="D73" s="7">
        <v>5.2</v>
      </c>
      <c r="E73" s="7">
        <v>48.5</v>
      </c>
      <c r="F73" s="7">
        <v>96.5</v>
      </c>
      <c r="G73" s="7" t="s">
        <v>100</v>
      </c>
      <c r="H73" s="7">
        <v>100</v>
      </c>
      <c r="I73" s="7" t="s">
        <v>270</v>
      </c>
      <c r="J73" s="7">
        <v>360</v>
      </c>
      <c r="K73" s="7" t="s">
        <v>102</v>
      </c>
      <c r="L73" s="7">
        <v>330.33633775600885</v>
      </c>
      <c r="M73" s="7" t="s">
        <v>270</v>
      </c>
      <c r="N73" s="7">
        <v>360</v>
      </c>
      <c r="O73" s="7" t="s">
        <v>102</v>
      </c>
      <c r="P73" s="8">
        <v>330.33633775600885</v>
      </c>
      <c r="V73" s="13">
        <v>48</v>
      </c>
    </row>
    <row r="74" spans="1:22">
      <c r="A74" s="7" t="s">
        <v>281</v>
      </c>
      <c r="B74" s="9" t="s">
        <v>282</v>
      </c>
      <c r="C74" s="7">
        <v>100</v>
      </c>
      <c r="D74" s="7">
        <v>5.2</v>
      </c>
      <c r="E74" s="7">
        <v>48.5</v>
      </c>
      <c r="F74" s="7">
        <v>96.5</v>
      </c>
      <c r="G74" s="7" t="s">
        <v>100</v>
      </c>
      <c r="H74" s="7">
        <v>100</v>
      </c>
      <c r="I74" s="7" t="s">
        <v>270</v>
      </c>
      <c r="J74" s="7">
        <v>360</v>
      </c>
      <c r="K74" s="7" t="s">
        <v>102</v>
      </c>
      <c r="L74" s="7">
        <v>330.33633775600885</v>
      </c>
      <c r="M74" s="7" t="s">
        <v>270</v>
      </c>
      <c r="N74" s="7">
        <v>360</v>
      </c>
      <c r="O74" s="7" t="s">
        <v>102</v>
      </c>
      <c r="P74" s="8">
        <v>330.33633775600885</v>
      </c>
      <c r="V74" s="13">
        <v>48</v>
      </c>
    </row>
    <row r="75" spans="1:22">
      <c r="A75" s="7" t="s">
        <v>283</v>
      </c>
      <c r="B75" s="9" t="s">
        <v>284</v>
      </c>
      <c r="C75" s="7">
        <v>160</v>
      </c>
      <c r="D75" s="7">
        <v>5.2</v>
      </c>
      <c r="E75" s="7">
        <v>48.5</v>
      </c>
      <c r="F75" s="7">
        <v>96.5</v>
      </c>
      <c r="G75" s="7" t="s">
        <v>67</v>
      </c>
      <c r="H75" s="7">
        <v>160</v>
      </c>
      <c r="I75" s="7" t="s">
        <v>262</v>
      </c>
      <c r="J75" s="7">
        <v>160</v>
      </c>
      <c r="K75" s="7" t="s">
        <v>56</v>
      </c>
      <c r="L75" s="7">
        <v>363.36997153160974</v>
      </c>
      <c r="M75" s="7" t="s">
        <v>231</v>
      </c>
      <c r="N75" s="7">
        <v>160</v>
      </c>
      <c r="O75" s="7" t="s">
        <v>232</v>
      </c>
      <c r="P75" s="8">
        <v>330.33633775600885</v>
      </c>
      <c r="V75" s="13">
        <v>48</v>
      </c>
    </row>
    <row r="76" spans="1:22">
      <c r="A76" s="7" t="s">
        <v>285</v>
      </c>
      <c r="B76" s="9" t="s">
        <v>286</v>
      </c>
      <c r="C76" s="7">
        <v>140</v>
      </c>
      <c r="D76" s="7">
        <v>5.9</v>
      </c>
      <c r="E76" s="7">
        <v>48</v>
      </c>
      <c r="F76" s="7">
        <v>96</v>
      </c>
      <c r="G76" s="7" t="s">
        <v>287</v>
      </c>
      <c r="H76" s="7">
        <v>140</v>
      </c>
      <c r="I76" s="7" t="s">
        <v>266</v>
      </c>
      <c r="J76" s="7">
        <v>140</v>
      </c>
      <c r="K76" s="7" t="s">
        <v>56</v>
      </c>
      <c r="L76" s="7">
        <v>357.67940424769745</v>
      </c>
      <c r="M76" s="7" t="s">
        <v>278</v>
      </c>
      <c r="N76" s="7">
        <v>140</v>
      </c>
      <c r="O76" s="7" t="s">
        <v>56</v>
      </c>
      <c r="P76" s="8">
        <v>357.67940424769745</v>
      </c>
      <c r="V76" s="13">
        <v>48</v>
      </c>
    </row>
    <row r="77" spans="1:22">
      <c r="A77" s="7" t="s">
        <v>288</v>
      </c>
      <c r="B77" s="9" t="s">
        <v>289</v>
      </c>
      <c r="C77" s="7">
        <v>110</v>
      </c>
      <c r="D77" s="7">
        <v>6</v>
      </c>
      <c r="E77" s="7">
        <v>48.5</v>
      </c>
      <c r="F77" s="7">
        <v>96.5</v>
      </c>
      <c r="G77" s="7" t="s">
        <v>290</v>
      </c>
      <c r="H77" s="7">
        <v>110</v>
      </c>
      <c r="I77" s="7" t="s">
        <v>270</v>
      </c>
      <c r="J77" s="7">
        <v>396</v>
      </c>
      <c r="K77" s="7" t="s">
        <v>102</v>
      </c>
      <c r="L77" s="7">
        <v>330.33633775600885</v>
      </c>
      <c r="M77" s="7" t="s">
        <v>270</v>
      </c>
      <c r="N77" s="7">
        <v>396</v>
      </c>
      <c r="O77" s="7" t="s">
        <v>102</v>
      </c>
      <c r="P77" s="8">
        <v>330.33633775600885</v>
      </c>
      <c r="V77" s="13">
        <v>48</v>
      </c>
    </row>
    <row r="78" spans="1:22">
      <c r="A78" s="7" t="s">
        <v>291</v>
      </c>
      <c r="B78" s="9" t="s">
        <v>292</v>
      </c>
      <c r="C78" s="7">
        <v>40</v>
      </c>
      <c r="D78" s="7">
        <v>18</v>
      </c>
      <c r="E78" s="7">
        <v>48.5</v>
      </c>
      <c r="F78" s="7">
        <v>96.5</v>
      </c>
      <c r="G78" s="7" t="s">
        <v>202</v>
      </c>
      <c r="H78" s="7">
        <v>40</v>
      </c>
      <c r="I78" s="7" t="s">
        <v>270</v>
      </c>
      <c r="J78" s="7">
        <v>144</v>
      </c>
      <c r="K78" s="7" t="s">
        <v>102</v>
      </c>
      <c r="L78" s="7">
        <v>330.33633775600885</v>
      </c>
      <c r="M78" s="7" t="s">
        <v>270</v>
      </c>
      <c r="N78" s="7">
        <v>144</v>
      </c>
      <c r="O78" s="7" t="s">
        <v>102</v>
      </c>
      <c r="P78" s="8">
        <v>330.33633775600885</v>
      </c>
      <c r="V78" s="13">
        <v>48</v>
      </c>
    </row>
    <row r="79" spans="1:22">
      <c r="A79" s="7" t="s">
        <v>293</v>
      </c>
      <c r="B79" s="9" t="s">
        <v>294</v>
      </c>
      <c r="C79" s="7">
        <v>160</v>
      </c>
      <c r="D79" s="7">
        <v>5.2</v>
      </c>
      <c r="E79" s="7">
        <v>48.5</v>
      </c>
      <c r="F79" s="7">
        <v>96.5</v>
      </c>
      <c r="G79" s="7" t="s">
        <v>295</v>
      </c>
      <c r="H79" s="7">
        <v>160</v>
      </c>
      <c r="I79" s="7" t="s">
        <v>270</v>
      </c>
      <c r="J79" s="7">
        <v>576</v>
      </c>
      <c r="K79" s="7" t="s">
        <v>102</v>
      </c>
      <c r="L79" s="7">
        <v>330.33633775600885</v>
      </c>
      <c r="M79" s="7" t="s">
        <v>270</v>
      </c>
      <c r="N79" s="7">
        <v>576</v>
      </c>
      <c r="O79" s="7" t="s">
        <v>102</v>
      </c>
      <c r="P79" s="8">
        <v>330.33633775600885</v>
      </c>
      <c r="V79" s="13">
        <v>48</v>
      </c>
    </row>
    <row r="80" spans="1:22">
      <c r="A80" s="7" t="s">
        <v>296</v>
      </c>
      <c r="B80" s="9" t="s">
        <v>297</v>
      </c>
      <c r="C80" s="7">
        <v>50</v>
      </c>
      <c r="D80" s="7">
        <v>19</v>
      </c>
      <c r="E80" s="7">
        <v>48.5</v>
      </c>
      <c r="F80" s="7">
        <v>96.5</v>
      </c>
      <c r="G80" s="7" t="s">
        <v>134</v>
      </c>
      <c r="H80" s="7">
        <v>50</v>
      </c>
      <c r="I80" s="7" t="s">
        <v>266</v>
      </c>
      <c r="J80" s="7">
        <v>50</v>
      </c>
      <c r="K80" s="7" t="s">
        <v>56</v>
      </c>
      <c r="L80" s="7">
        <v>363.36997153160974</v>
      </c>
      <c r="M80" s="7" t="s">
        <v>275</v>
      </c>
      <c r="N80" s="7">
        <v>50</v>
      </c>
      <c r="O80" s="7" t="s">
        <v>56</v>
      </c>
      <c r="P80" s="8">
        <v>363.36997153160974</v>
      </c>
      <c r="V80" s="13">
        <v>48</v>
      </c>
    </row>
    <row r="81" spans="1:22">
      <c r="A81" s="7" t="s">
        <v>298</v>
      </c>
      <c r="B81" s="9" t="s">
        <v>299</v>
      </c>
      <c r="C81" s="7">
        <v>150</v>
      </c>
      <c r="D81" s="7">
        <v>5.2</v>
      </c>
      <c r="E81" s="7">
        <v>48.5</v>
      </c>
      <c r="F81" s="7">
        <v>96.5</v>
      </c>
      <c r="G81" s="7" t="s">
        <v>100</v>
      </c>
      <c r="H81" s="7">
        <v>150</v>
      </c>
      <c r="I81" s="7" t="s">
        <v>300</v>
      </c>
      <c r="J81" s="7">
        <v>540</v>
      </c>
      <c r="K81" s="7" t="s">
        <v>301</v>
      </c>
      <c r="L81" s="7">
        <v>363.36997153160974</v>
      </c>
      <c r="M81" s="7" t="s">
        <v>300</v>
      </c>
      <c r="N81" s="7">
        <v>540</v>
      </c>
      <c r="O81" s="7" t="s">
        <v>301</v>
      </c>
      <c r="P81" s="8">
        <v>363.36997153160974</v>
      </c>
      <c r="V81" s="13">
        <v>48</v>
      </c>
    </row>
    <row r="82" spans="1:22">
      <c r="A82" s="7" t="s">
        <v>302</v>
      </c>
      <c r="B82" s="9" t="s">
        <v>303</v>
      </c>
      <c r="C82" s="7">
        <v>50</v>
      </c>
      <c r="D82" s="7">
        <v>19</v>
      </c>
      <c r="E82" s="7">
        <v>48.5</v>
      </c>
      <c r="F82" s="7">
        <v>96.5</v>
      </c>
      <c r="G82" s="7" t="s">
        <v>62</v>
      </c>
      <c r="H82" s="7">
        <v>50</v>
      </c>
      <c r="I82" s="7" t="s">
        <v>304</v>
      </c>
      <c r="J82" s="7">
        <v>50</v>
      </c>
      <c r="K82" s="7" t="s">
        <v>56</v>
      </c>
      <c r="L82" s="7">
        <v>352.96799760266185</v>
      </c>
      <c r="M82" s="7" t="s">
        <v>305</v>
      </c>
      <c r="N82" s="7">
        <v>50</v>
      </c>
      <c r="O82" s="7" t="s">
        <v>56</v>
      </c>
      <c r="P82" s="8">
        <v>352.96799760266185</v>
      </c>
      <c r="V82" s="13">
        <v>48</v>
      </c>
    </row>
    <row r="83" spans="1:22">
      <c r="A83" s="7" t="s">
        <v>306</v>
      </c>
      <c r="B83" s="9" t="s">
        <v>307</v>
      </c>
      <c r="C83" s="7">
        <v>160</v>
      </c>
      <c r="D83" s="7">
        <v>5.2</v>
      </c>
      <c r="E83" s="7">
        <v>48.5</v>
      </c>
      <c r="F83" s="7">
        <v>96.5</v>
      </c>
      <c r="G83" s="7" t="s">
        <v>67</v>
      </c>
      <c r="H83" s="7">
        <v>160</v>
      </c>
      <c r="I83" s="7" t="s">
        <v>304</v>
      </c>
      <c r="J83" s="7">
        <v>160</v>
      </c>
      <c r="K83" s="7" t="s">
        <v>56</v>
      </c>
      <c r="L83" s="7">
        <v>355.1115630877095</v>
      </c>
      <c r="M83" s="7" t="s">
        <v>308</v>
      </c>
      <c r="N83" s="7">
        <v>160</v>
      </c>
      <c r="O83" s="7" t="s">
        <v>56</v>
      </c>
      <c r="P83" s="8">
        <v>355.1115630877095</v>
      </c>
      <c r="V83" s="13">
        <v>48</v>
      </c>
    </row>
    <row r="84" spans="1:22">
      <c r="A84" s="7" t="s">
        <v>309</v>
      </c>
      <c r="B84" s="9" t="s">
        <v>310</v>
      </c>
      <c r="C84" s="7">
        <v>150</v>
      </c>
      <c r="D84" s="7">
        <v>5.2</v>
      </c>
      <c r="E84" s="7">
        <v>48.5</v>
      </c>
      <c r="F84" s="7">
        <v>96.5</v>
      </c>
      <c r="G84" s="7" t="s">
        <v>100</v>
      </c>
      <c r="H84" s="7">
        <v>150</v>
      </c>
      <c r="I84" s="7" t="s">
        <v>311</v>
      </c>
      <c r="J84" s="7">
        <v>540</v>
      </c>
      <c r="K84" s="7" t="s">
        <v>301</v>
      </c>
      <c r="L84" s="7">
        <v>272.5274786487073</v>
      </c>
      <c r="M84" s="7" t="s">
        <v>312</v>
      </c>
      <c r="N84" s="7">
        <v>540</v>
      </c>
      <c r="O84" s="7" t="s">
        <v>301</v>
      </c>
      <c r="P84" s="8">
        <v>272.5274786487073</v>
      </c>
      <c r="V84" s="13">
        <v>48</v>
      </c>
    </row>
    <row r="85" spans="1:22">
      <c r="A85" s="7" t="s">
        <v>313</v>
      </c>
      <c r="B85" s="9" t="s">
        <v>310</v>
      </c>
      <c r="C85" s="7">
        <v>150</v>
      </c>
      <c r="D85" s="7">
        <v>5.2</v>
      </c>
      <c r="E85" s="7">
        <v>48.5</v>
      </c>
      <c r="F85" s="7">
        <v>96.5</v>
      </c>
      <c r="G85" s="7" t="s">
        <v>100</v>
      </c>
      <c r="H85" s="7">
        <v>150</v>
      </c>
      <c r="I85" s="7" t="s">
        <v>311</v>
      </c>
      <c r="J85" s="7">
        <v>540</v>
      </c>
      <c r="K85" s="7" t="s">
        <v>301</v>
      </c>
      <c r="L85" s="7">
        <v>272.5274786487073</v>
      </c>
      <c r="M85" s="7" t="s">
        <v>312</v>
      </c>
      <c r="N85" s="7">
        <v>540</v>
      </c>
      <c r="O85" s="7" t="s">
        <v>301</v>
      </c>
      <c r="P85" s="8">
        <v>272.5274786487073</v>
      </c>
      <c r="V85" s="13">
        <v>48</v>
      </c>
    </row>
    <row r="86" spans="1:22">
      <c r="A86" s="7" t="s">
        <v>314</v>
      </c>
      <c r="B86" s="9" t="s">
        <v>315</v>
      </c>
      <c r="C86" s="7">
        <v>150</v>
      </c>
      <c r="D86" s="7">
        <v>5.2</v>
      </c>
      <c r="E86" s="7">
        <v>48.5</v>
      </c>
      <c r="F86" s="7">
        <v>96.5</v>
      </c>
      <c r="G86" s="7" t="s">
        <v>100</v>
      </c>
      <c r="H86" s="7">
        <v>150</v>
      </c>
      <c r="I86" s="7" t="s">
        <v>311</v>
      </c>
      <c r="J86" s="7">
        <v>540</v>
      </c>
      <c r="K86" s="7" t="s">
        <v>301</v>
      </c>
      <c r="L86" s="7">
        <v>272.5274786487073</v>
      </c>
      <c r="M86" s="7" t="s">
        <v>312</v>
      </c>
      <c r="N86" s="7">
        <v>540</v>
      </c>
      <c r="O86" s="7" t="s">
        <v>301</v>
      </c>
      <c r="P86" s="8">
        <v>272.5274786487073</v>
      </c>
      <c r="V86" s="13">
        <v>48</v>
      </c>
    </row>
    <row r="87" spans="1:22">
      <c r="A87" s="7" t="s">
        <v>316</v>
      </c>
      <c r="B87" s="9" t="s">
        <v>317</v>
      </c>
      <c r="C87" s="7">
        <v>150</v>
      </c>
      <c r="D87" s="7">
        <v>5.2</v>
      </c>
      <c r="E87" s="7">
        <v>48.5</v>
      </c>
      <c r="F87" s="7">
        <v>96.5</v>
      </c>
      <c r="G87" s="7" t="s">
        <v>100</v>
      </c>
      <c r="H87" s="7">
        <v>150</v>
      </c>
      <c r="I87" s="7" t="s">
        <v>311</v>
      </c>
      <c r="J87" s="7">
        <v>540</v>
      </c>
      <c r="K87" s="7" t="s">
        <v>301</v>
      </c>
      <c r="L87" s="7">
        <v>272.5274786487073</v>
      </c>
      <c r="M87" s="7" t="s">
        <v>312</v>
      </c>
      <c r="N87" s="7">
        <v>540</v>
      </c>
      <c r="O87" s="7" t="s">
        <v>301</v>
      </c>
      <c r="P87" s="8">
        <v>272.5274786487073</v>
      </c>
      <c r="V87" s="13">
        <v>48</v>
      </c>
    </row>
    <row r="88" spans="1:22">
      <c r="A88" s="7" t="s">
        <v>318</v>
      </c>
      <c r="B88" s="9" t="s">
        <v>319</v>
      </c>
      <c r="C88" s="7">
        <v>150</v>
      </c>
      <c r="D88" s="7">
        <v>5.2</v>
      </c>
      <c r="E88" s="7">
        <v>48.5</v>
      </c>
      <c r="F88" s="7">
        <v>96.5</v>
      </c>
      <c r="G88" s="7" t="s">
        <v>100</v>
      </c>
      <c r="H88" s="7">
        <v>150</v>
      </c>
      <c r="I88" s="7" t="s">
        <v>320</v>
      </c>
      <c r="J88" s="7">
        <v>540</v>
      </c>
      <c r="K88" s="7" t="s">
        <v>301</v>
      </c>
      <c r="L88" s="7">
        <v>272.5274786487073</v>
      </c>
      <c r="M88" s="7" t="s">
        <v>321</v>
      </c>
      <c r="N88" s="7">
        <v>540</v>
      </c>
      <c r="O88" s="7" t="s">
        <v>301</v>
      </c>
      <c r="P88" s="8">
        <v>272.5274786487073</v>
      </c>
      <c r="V88" s="13">
        <v>48</v>
      </c>
    </row>
    <row r="89" spans="1:22">
      <c r="A89" s="7" t="s">
        <v>322</v>
      </c>
      <c r="B89" s="9" t="s">
        <v>323</v>
      </c>
      <c r="C89" s="7">
        <v>160</v>
      </c>
      <c r="D89" s="7">
        <v>5.2</v>
      </c>
      <c r="E89" s="7">
        <v>48.5</v>
      </c>
      <c r="F89" s="7">
        <v>96.5</v>
      </c>
      <c r="G89" s="7" t="s">
        <v>67</v>
      </c>
      <c r="H89" s="7">
        <v>160</v>
      </c>
      <c r="I89" s="7" t="s">
        <v>324</v>
      </c>
      <c r="J89" s="7">
        <v>160</v>
      </c>
      <c r="K89" s="7" t="s">
        <v>56</v>
      </c>
      <c r="L89" s="7">
        <v>355.1115630877095</v>
      </c>
      <c r="M89" s="7" t="s">
        <v>308</v>
      </c>
      <c r="N89" s="7">
        <v>160</v>
      </c>
      <c r="O89" s="7" t="s">
        <v>56</v>
      </c>
      <c r="P89" s="8">
        <v>355.1115630877095</v>
      </c>
      <c r="V89" s="13">
        <v>48</v>
      </c>
    </row>
    <row r="90" spans="1:22">
      <c r="A90" s="7" t="s">
        <v>325</v>
      </c>
      <c r="B90" s="9" t="s">
        <v>326</v>
      </c>
      <c r="C90" s="7">
        <v>120</v>
      </c>
      <c r="D90" s="7">
        <v>5.2</v>
      </c>
      <c r="E90" s="7">
        <v>48.5</v>
      </c>
      <c r="F90" s="7">
        <v>96.5</v>
      </c>
      <c r="G90" s="7" t="s">
        <v>100</v>
      </c>
      <c r="H90" s="7">
        <v>120</v>
      </c>
      <c r="I90" s="7" t="s">
        <v>311</v>
      </c>
      <c r="J90" s="7">
        <v>432</v>
      </c>
      <c r="K90" s="7" t="s">
        <v>301</v>
      </c>
      <c r="L90" s="7">
        <v>272.5274786487073</v>
      </c>
      <c r="M90" s="7" t="s">
        <v>312</v>
      </c>
      <c r="N90" s="7">
        <v>432</v>
      </c>
      <c r="O90" s="7" t="s">
        <v>301</v>
      </c>
      <c r="P90" s="8">
        <v>272.5274786487073</v>
      </c>
      <c r="V90" s="13">
        <v>48</v>
      </c>
    </row>
    <row r="91" spans="1:22">
      <c r="A91" s="7" t="s">
        <v>327</v>
      </c>
      <c r="B91" s="9" t="s">
        <v>328</v>
      </c>
      <c r="C91" s="7">
        <v>160</v>
      </c>
      <c r="D91" s="7">
        <v>5.2</v>
      </c>
      <c r="E91" s="7">
        <v>48.5</v>
      </c>
      <c r="F91" s="7">
        <v>96.5</v>
      </c>
      <c r="G91" s="7" t="s">
        <v>67</v>
      </c>
      <c r="H91" s="7">
        <v>160</v>
      </c>
      <c r="I91" s="7" t="s">
        <v>329</v>
      </c>
      <c r="J91" s="7">
        <v>160</v>
      </c>
      <c r="K91" s="7" t="s">
        <v>56</v>
      </c>
      <c r="L91" s="7">
        <v>355.1115630877095</v>
      </c>
      <c r="M91" s="7" t="s">
        <v>330</v>
      </c>
      <c r="N91" s="7">
        <v>160</v>
      </c>
      <c r="O91" s="7" t="s">
        <v>56</v>
      </c>
      <c r="P91" s="8">
        <v>355.1115630877095</v>
      </c>
      <c r="V91" s="13">
        <v>48</v>
      </c>
    </row>
    <row r="92" spans="1:22">
      <c r="A92" s="7" t="s">
        <v>331</v>
      </c>
      <c r="B92" s="9" t="s">
        <v>332</v>
      </c>
      <c r="C92" s="7">
        <v>150</v>
      </c>
      <c r="D92" s="7">
        <v>5.2</v>
      </c>
      <c r="E92" s="7">
        <v>48.5</v>
      </c>
      <c r="F92" s="7">
        <v>96.5</v>
      </c>
      <c r="G92" s="7" t="s">
        <v>100</v>
      </c>
      <c r="H92" s="7">
        <v>150</v>
      </c>
      <c r="I92" s="7" t="s">
        <v>311</v>
      </c>
      <c r="J92" s="7">
        <v>540</v>
      </c>
      <c r="K92" s="7" t="s">
        <v>301</v>
      </c>
      <c r="L92" s="7">
        <v>272.5274786487073</v>
      </c>
      <c r="M92" s="7" t="s">
        <v>312</v>
      </c>
      <c r="N92" s="7">
        <v>540</v>
      </c>
      <c r="O92" s="7" t="s">
        <v>301</v>
      </c>
      <c r="P92" s="8">
        <v>272.5274786487073</v>
      </c>
      <c r="V92" s="13">
        <v>48</v>
      </c>
    </row>
    <row r="93" spans="1:22">
      <c r="A93" s="7" t="s">
        <v>333</v>
      </c>
      <c r="B93" s="9" t="s">
        <v>334</v>
      </c>
      <c r="C93" s="7">
        <v>150</v>
      </c>
      <c r="D93" s="7">
        <v>5.2</v>
      </c>
      <c r="E93" s="7">
        <v>48.5</v>
      </c>
      <c r="F93" s="7">
        <v>96.5</v>
      </c>
      <c r="G93" s="7" t="s">
        <v>100</v>
      </c>
      <c r="H93" s="7">
        <v>150</v>
      </c>
      <c r="I93" s="7" t="s">
        <v>311</v>
      </c>
      <c r="J93" s="7">
        <v>540</v>
      </c>
      <c r="K93" s="7" t="s">
        <v>301</v>
      </c>
      <c r="L93" s="7">
        <v>272.5274786487073</v>
      </c>
      <c r="M93" s="7" t="s">
        <v>312</v>
      </c>
      <c r="N93" s="7">
        <v>540</v>
      </c>
      <c r="O93" s="7" t="s">
        <v>301</v>
      </c>
      <c r="P93" s="8">
        <v>272.5274786487073</v>
      </c>
      <c r="V93" s="13">
        <v>48</v>
      </c>
    </row>
    <row r="94" spans="1:22">
      <c r="A94" s="7" t="s">
        <v>335</v>
      </c>
      <c r="B94" s="9" t="s">
        <v>336</v>
      </c>
      <c r="C94" s="7">
        <v>110</v>
      </c>
      <c r="D94" s="7">
        <v>6</v>
      </c>
      <c r="E94" s="7">
        <v>48.5</v>
      </c>
      <c r="F94" s="7">
        <v>96.5</v>
      </c>
      <c r="G94" s="7" t="s">
        <v>290</v>
      </c>
      <c r="H94" s="7">
        <v>110</v>
      </c>
      <c r="I94" s="7" t="s">
        <v>311</v>
      </c>
      <c r="J94" s="7">
        <v>396</v>
      </c>
      <c r="K94" s="7" t="s">
        <v>301</v>
      </c>
      <c r="L94" s="7">
        <v>272.5274786487073</v>
      </c>
      <c r="M94" s="7" t="s">
        <v>312</v>
      </c>
      <c r="N94" s="7">
        <v>396</v>
      </c>
      <c r="O94" s="7" t="s">
        <v>301</v>
      </c>
      <c r="P94" s="8">
        <v>272.5274786487073</v>
      </c>
      <c r="V94" s="13">
        <v>48</v>
      </c>
    </row>
    <row r="95" spans="1:22">
      <c r="A95" s="7" t="s">
        <v>337</v>
      </c>
      <c r="B95" s="9" t="s">
        <v>338</v>
      </c>
      <c r="C95" s="7">
        <v>50</v>
      </c>
      <c r="D95" s="7">
        <v>18</v>
      </c>
      <c r="E95" s="7">
        <v>48.5</v>
      </c>
      <c r="F95" s="7">
        <v>96.5</v>
      </c>
      <c r="G95" s="7" t="s">
        <v>202</v>
      </c>
      <c r="H95" s="7">
        <v>50</v>
      </c>
      <c r="I95" s="7" t="s">
        <v>311</v>
      </c>
      <c r="J95" s="7">
        <v>180</v>
      </c>
      <c r="K95" s="7" t="s">
        <v>301</v>
      </c>
      <c r="L95" s="7">
        <v>272.5274786487073</v>
      </c>
      <c r="M95" s="7" t="s">
        <v>312</v>
      </c>
      <c r="N95" s="7">
        <v>180</v>
      </c>
      <c r="O95" s="7" t="s">
        <v>301</v>
      </c>
      <c r="P95" s="8">
        <v>272.5274786487073</v>
      </c>
      <c r="V95" s="13">
        <v>48</v>
      </c>
    </row>
    <row r="96" spans="1:22">
      <c r="A96" s="7" t="s">
        <v>339</v>
      </c>
      <c r="B96" s="9" t="s">
        <v>340</v>
      </c>
      <c r="C96" s="7">
        <v>100</v>
      </c>
      <c r="D96" s="7">
        <v>19</v>
      </c>
      <c r="E96" s="7">
        <v>48.5</v>
      </c>
      <c r="F96" s="7">
        <v>96.5</v>
      </c>
      <c r="G96" s="7" t="s">
        <v>202</v>
      </c>
      <c r="H96" s="7">
        <v>100</v>
      </c>
      <c r="I96" s="7" t="s">
        <v>341</v>
      </c>
      <c r="J96" s="7">
        <v>100</v>
      </c>
      <c r="K96" s="7" t="s">
        <v>56</v>
      </c>
      <c r="L96" s="7">
        <v>355.1115630877095</v>
      </c>
      <c r="M96" s="7" t="s">
        <v>342</v>
      </c>
      <c r="N96" s="7">
        <v>100</v>
      </c>
      <c r="O96" s="7" t="s">
        <v>56</v>
      </c>
      <c r="P96" s="8">
        <v>355.1115630877095</v>
      </c>
      <c r="V96" s="13">
        <v>48</v>
      </c>
    </row>
    <row r="97" spans="1:22">
      <c r="A97" s="7" t="s">
        <v>343</v>
      </c>
      <c r="B97" s="9" t="s">
        <v>344</v>
      </c>
      <c r="C97" s="7">
        <v>50</v>
      </c>
      <c r="D97" s="7">
        <v>19</v>
      </c>
      <c r="E97" s="7">
        <v>48.5</v>
      </c>
      <c r="F97" s="7">
        <v>96.5</v>
      </c>
      <c r="G97" s="7" t="s">
        <v>202</v>
      </c>
      <c r="H97" s="7">
        <v>50</v>
      </c>
      <c r="I97" s="7" t="s">
        <v>345</v>
      </c>
      <c r="J97" s="7">
        <v>50</v>
      </c>
      <c r="K97" s="7" t="s">
        <v>56</v>
      </c>
      <c r="L97" s="7">
        <v>355.1115630877095</v>
      </c>
      <c r="M97" s="7" t="s">
        <v>346</v>
      </c>
      <c r="N97" s="7">
        <v>50</v>
      </c>
      <c r="O97" s="7" t="s">
        <v>56</v>
      </c>
      <c r="P97" s="8">
        <v>355.1115630877095</v>
      </c>
      <c r="V97" s="13">
        <v>48</v>
      </c>
    </row>
    <row r="98" spans="1:22">
      <c r="A98" s="7" t="s">
        <v>347</v>
      </c>
      <c r="B98" s="9" t="s">
        <v>348</v>
      </c>
      <c r="C98" s="7">
        <v>90</v>
      </c>
      <c r="D98" s="7">
        <v>19</v>
      </c>
      <c r="E98" s="7">
        <v>48.5</v>
      </c>
      <c r="F98" s="7">
        <v>120.5</v>
      </c>
      <c r="G98" s="7" t="s">
        <v>197</v>
      </c>
      <c r="H98" s="7">
        <v>90</v>
      </c>
      <c r="I98" s="7" t="s">
        <v>349</v>
      </c>
      <c r="J98" s="7">
        <v>90</v>
      </c>
      <c r="K98" s="7" t="s">
        <v>56</v>
      </c>
      <c r="L98" s="7">
        <v>442.84500808584954</v>
      </c>
      <c r="M98" s="7" t="s">
        <v>350</v>
      </c>
      <c r="N98" s="7">
        <v>90</v>
      </c>
      <c r="O98" s="7" t="s">
        <v>56</v>
      </c>
      <c r="P98" s="8">
        <v>442.84500808584954</v>
      </c>
      <c r="V98" s="13">
        <v>48</v>
      </c>
    </row>
    <row r="99" spans="1:22">
      <c r="A99" s="7" t="s">
        <v>351</v>
      </c>
      <c r="B99" s="9" t="s">
        <v>352</v>
      </c>
      <c r="C99" s="7">
        <v>50</v>
      </c>
      <c r="D99" s="7">
        <v>19</v>
      </c>
      <c r="E99" s="7">
        <v>48.5</v>
      </c>
      <c r="F99" s="7">
        <v>96.5</v>
      </c>
      <c r="G99" s="7" t="s">
        <v>353</v>
      </c>
      <c r="H99" s="7">
        <v>50</v>
      </c>
      <c r="I99" s="7" t="s">
        <v>329</v>
      </c>
      <c r="J99" s="7">
        <v>50</v>
      </c>
      <c r="K99" s="7" t="s">
        <v>56</v>
      </c>
      <c r="L99" s="7">
        <v>355.1115630877095</v>
      </c>
      <c r="M99" s="7" t="s">
        <v>305</v>
      </c>
      <c r="N99" s="7">
        <v>50</v>
      </c>
      <c r="O99" s="7" t="s">
        <v>56</v>
      </c>
      <c r="P99" s="8">
        <v>355.1115630877095</v>
      </c>
      <c r="V99" s="13">
        <v>48</v>
      </c>
    </row>
    <row r="100" spans="1:22">
      <c r="A100" s="7" t="s">
        <v>354</v>
      </c>
      <c r="B100" s="9" t="s">
        <v>355</v>
      </c>
      <c r="C100" s="7">
        <v>50</v>
      </c>
      <c r="D100" s="7">
        <v>19</v>
      </c>
      <c r="E100" s="7">
        <v>48.5</v>
      </c>
      <c r="F100" s="7">
        <v>96.5</v>
      </c>
      <c r="G100" s="7" t="s">
        <v>139</v>
      </c>
      <c r="H100" s="7">
        <v>50</v>
      </c>
      <c r="I100" s="7" t="s">
        <v>341</v>
      </c>
      <c r="J100" s="7">
        <v>50</v>
      </c>
      <c r="K100" s="7" t="s">
        <v>56</v>
      </c>
      <c r="L100" s="7">
        <v>349.55032687843158</v>
      </c>
      <c r="M100" s="7" t="s">
        <v>342</v>
      </c>
      <c r="N100" s="7">
        <v>50</v>
      </c>
      <c r="O100" s="7" t="s">
        <v>56</v>
      </c>
      <c r="P100" s="8">
        <v>349.55032687843158</v>
      </c>
      <c r="V100" s="13">
        <v>48</v>
      </c>
    </row>
    <row r="101" spans="1:22">
      <c r="A101" s="7" t="s">
        <v>356</v>
      </c>
      <c r="B101" s="9" t="s">
        <v>357</v>
      </c>
      <c r="C101" s="7">
        <v>50</v>
      </c>
      <c r="D101" s="7">
        <v>19</v>
      </c>
      <c r="E101" s="7">
        <v>49</v>
      </c>
      <c r="F101" s="7">
        <v>97</v>
      </c>
      <c r="G101" s="7" t="s">
        <v>62</v>
      </c>
      <c r="H101" s="7">
        <v>50</v>
      </c>
      <c r="I101" s="7" t="s">
        <v>358</v>
      </c>
      <c r="J101" s="7">
        <v>50</v>
      </c>
      <c r="K101" s="7" t="s">
        <v>359</v>
      </c>
      <c r="L101" s="7">
        <v>328.34232335131333</v>
      </c>
      <c r="M101" s="7" t="s">
        <v>360</v>
      </c>
      <c r="N101" s="7">
        <v>50</v>
      </c>
      <c r="O101" s="7" t="s">
        <v>359</v>
      </c>
      <c r="P101" s="8">
        <v>328.34232335131333</v>
      </c>
      <c r="V101" s="13">
        <v>48</v>
      </c>
    </row>
    <row r="102" spans="1:22">
      <c r="A102" s="7" t="s">
        <v>361</v>
      </c>
      <c r="B102" s="9" t="s">
        <v>362</v>
      </c>
      <c r="C102" s="7">
        <v>50</v>
      </c>
      <c r="D102" s="7">
        <v>19</v>
      </c>
      <c r="E102" s="7">
        <v>48.5</v>
      </c>
      <c r="F102" s="7">
        <v>96.5</v>
      </c>
      <c r="G102" s="7" t="s">
        <v>62</v>
      </c>
      <c r="H102" s="7">
        <v>50</v>
      </c>
      <c r="I102" s="7" t="s">
        <v>363</v>
      </c>
      <c r="J102" s="7">
        <v>50</v>
      </c>
      <c r="K102" s="7" t="s">
        <v>359</v>
      </c>
      <c r="L102" s="7">
        <v>328.34232335131333</v>
      </c>
      <c r="M102" s="7" t="s">
        <v>364</v>
      </c>
      <c r="N102" s="7">
        <v>50</v>
      </c>
      <c r="O102" s="7" t="s">
        <v>359</v>
      </c>
      <c r="P102" s="8">
        <v>328.34232335131333</v>
      </c>
      <c r="V102" s="13">
        <v>48</v>
      </c>
    </row>
    <row r="103" spans="1:22">
      <c r="A103" s="7" t="s">
        <v>365</v>
      </c>
      <c r="B103" s="9" t="s">
        <v>366</v>
      </c>
      <c r="C103" s="7">
        <v>260</v>
      </c>
      <c r="D103" s="7">
        <v>3</v>
      </c>
      <c r="E103" s="7">
        <v>48.5</v>
      </c>
      <c r="F103" s="7">
        <v>96.5</v>
      </c>
      <c r="G103" s="7" t="s">
        <v>367</v>
      </c>
      <c r="H103" s="7">
        <v>260</v>
      </c>
      <c r="I103" s="7" t="s">
        <v>358</v>
      </c>
      <c r="J103" s="7">
        <v>260</v>
      </c>
      <c r="K103" s="7" t="s">
        <v>359</v>
      </c>
      <c r="L103" s="7">
        <v>330.33633775600885</v>
      </c>
      <c r="M103" s="7" t="s">
        <v>360</v>
      </c>
      <c r="N103" s="7">
        <v>260</v>
      </c>
      <c r="O103" s="7" t="s">
        <v>359</v>
      </c>
      <c r="P103" s="8">
        <v>330.33633775600885</v>
      </c>
      <c r="V103" s="13">
        <v>48</v>
      </c>
    </row>
    <row r="104" spans="1:22">
      <c r="A104" s="7" t="s">
        <v>368</v>
      </c>
      <c r="B104" s="9" t="s">
        <v>369</v>
      </c>
      <c r="C104" s="7">
        <v>150</v>
      </c>
      <c r="D104" s="7">
        <v>5.2</v>
      </c>
      <c r="E104" s="7">
        <v>48.5</v>
      </c>
      <c r="F104" s="7">
        <v>96.5</v>
      </c>
      <c r="G104" s="7" t="s">
        <v>100</v>
      </c>
      <c r="H104" s="7">
        <v>150</v>
      </c>
      <c r="I104" s="7" t="s">
        <v>370</v>
      </c>
      <c r="J104" s="7">
        <v>150</v>
      </c>
      <c r="K104" s="7" t="s">
        <v>359</v>
      </c>
      <c r="L104" s="7">
        <v>330.33633775600885</v>
      </c>
      <c r="M104" s="7" t="s">
        <v>371</v>
      </c>
      <c r="N104" s="7">
        <v>150</v>
      </c>
      <c r="O104" s="7" t="s">
        <v>359</v>
      </c>
      <c r="P104" s="8">
        <v>330.33633775600885</v>
      </c>
      <c r="V104" s="13">
        <v>48</v>
      </c>
    </row>
    <row r="105" spans="1:22">
      <c r="A105" s="7" t="s">
        <v>372</v>
      </c>
      <c r="B105" s="9" t="s">
        <v>373</v>
      </c>
      <c r="C105" s="7">
        <v>160</v>
      </c>
      <c r="D105" s="7">
        <v>5.2</v>
      </c>
      <c r="E105" s="7">
        <v>48.5</v>
      </c>
      <c r="F105" s="7">
        <v>96.5</v>
      </c>
      <c r="G105" s="7" t="s">
        <v>100</v>
      </c>
      <c r="H105" s="7">
        <v>160</v>
      </c>
      <c r="I105" s="7" t="s">
        <v>370</v>
      </c>
      <c r="J105" s="7">
        <v>160</v>
      </c>
      <c r="K105" s="7" t="s">
        <v>359</v>
      </c>
      <c r="L105" s="7">
        <v>330.33633775600885</v>
      </c>
      <c r="M105" s="7" t="s">
        <v>360</v>
      </c>
      <c r="N105" s="7">
        <v>160</v>
      </c>
      <c r="O105" s="7" t="s">
        <v>359</v>
      </c>
      <c r="P105" s="8">
        <v>330.33633775600885</v>
      </c>
      <c r="V105" s="13">
        <v>48</v>
      </c>
    </row>
    <row r="106" spans="1:22">
      <c r="A106" s="7" t="s">
        <v>374</v>
      </c>
      <c r="B106" s="9" t="s">
        <v>375</v>
      </c>
      <c r="C106" s="7">
        <v>160</v>
      </c>
      <c r="D106" s="7">
        <v>5.2</v>
      </c>
      <c r="E106" s="7">
        <v>48.5</v>
      </c>
      <c r="F106" s="7">
        <v>96.5</v>
      </c>
      <c r="G106" s="7" t="s">
        <v>100</v>
      </c>
      <c r="H106" s="7">
        <v>160</v>
      </c>
      <c r="I106" s="7" t="s">
        <v>358</v>
      </c>
      <c r="J106" s="7">
        <v>160</v>
      </c>
      <c r="K106" s="7" t="s">
        <v>359</v>
      </c>
      <c r="L106" s="7">
        <v>330.33633775600885</v>
      </c>
      <c r="M106" s="7" t="s">
        <v>360</v>
      </c>
      <c r="N106" s="7">
        <v>160</v>
      </c>
      <c r="O106" s="7" t="s">
        <v>359</v>
      </c>
      <c r="P106" s="8">
        <v>330.33633775600885</v>
      </c>
      <c r="V106" s="13">
        <v>48</v>
      </c>
    </row>
    <row r="107" spans="1:22">
      <c r="A107" s="7" t="s">
        <v>376</v>
      </c>
      <c r="B107" s="9" t="s">
        <v>377</v>
      </c>
      <c r="C107" s="7">
        <v>160</v>
      </c>
      <c r="D107" s="7">
        <v>5.2</v>
      </c>
      <c r="E107" s="7">
        <v>48.5</v>
      </c>
      <c r="F107" s="7">
        <v>84.5</v>
      </c>
      <c r="G107" s="7" t="s">
        <v>378</v>
      </c>
      <c r="H107" s="7">
        <v>160</v>
      </c>
      <c r="I107" s="7" t="s">
        <v>379</v>
      </c>
      <c r="J107" s="7">
        <v>160</v>
      </c>
      <c r="K107" s="7" t="s">
        <v>359</v>
      </c>
      <c r="L107" s="7">
        <v>284.45140223613782</v>
      </c>
      <c r="M107" s="7" t="s">
        <v>364</v>
      </c>
      <c r="N107" s="7">
        <v>160</v>
      </c>
      <c r="O107" s="7" t="s">
        <v>359</v>
      </c>
      <c r="P107" s="8">
        <v>284.45140223613782</v>
      </c>
      <c r="V107" s="13">
        <v>48</v>
      </c>
    </row>
    <row r="108" spans="1:22">
      <c r="A108" s="7" t="s">
        <v>380</v>
      </c>
      <c r="B108" s="9" t="s">
        <v>381</v>
      </c>
      <c r="C108" s="7">
        <v>160</v>
      </c>
      <c r="D108" s="7">
        <v>5.2</v>
      </c>
      <c r="E108" s="7">
        <v>48</v>
      </c>
      <c r="F108" s="7">
        <v>96</v>
      </c>
      <c r="G108" s="7" t="s">
        <v>242</v>
      </c>
      <c r="H108" s="7">
        <v>160</v>
      </c>
      <c r="I108" s="7" t="s">
        <v>382</v>
      </c>
      <c r="J108" s="7">
        <v>160</v>
      </c>
      <c r="K108" s="7" t="s">
        <v>359</v>
      </c>
      <c r="L108" s="7">
        <v>325.16309477063402</v>
      </c>
      <c r="M108" s="7" t="s">
        <v>364</v>
      </c>
      <c r="N108" s="7">
        <v>160</v>
      </c>
      <c r="O108" s="7" t="s">
        <v>359</v>
      </c>
      <c r="P108" s="8">
        <v>325.16309477063402</v>
      </c>
      <c r="V108" s="13">
        <v>48</v>
      </c>
    </row>
    <row r="109" spans="1:22">
      <c r="A109" s="7" t="s">
        <v>383</v>
      </c>
      <c r="B109" s="9" t="s">
        <v>384</v>
      </c>
      <c r="C109" s="7">
        <v>160</v>
      </c>
      <c r="D109" s="7">
        <v>5.2</v>
      </c>
      <c r="E109" s="7">
        <v>48</v>
      </c>
      <c r="F109" s="7">
        <v>96</v>
      </c>
      <c r="G109" s="7" t="s">
        <v>242</v>
      </c>
      <c r="H109" s="7">
        <v>160</v>
      </c>
      <c r="I109" s="7" t="s">
        <v>363</v>
      </c>
      <c r="J109" s="7">
        <v>160</v>
      </c>
      <c r="K109" s="7" t="s">
        <v>359</v>
      </c>
      <c r="L109" s="7">
        <v>325.16309477063402</v>
      </c>
      <c r="M109" s="7" t="s">
        <v>364</v>
      </c>
      <c r="N109" s="7">
        <v>160</v>
      </c>
      <c r="O109" s="7" t="s">
        <v>359</v>
      </c>
      <c r="P109" s="8">
        <v>325.16309477063402</v>
      </c>
      <c r="V109" s="13">
        <v>48</v>
      </c>
    </row>
    <row r="110" spans="1:22">
      <c r="A110" s="7" t="s">
        <v>385</v>
      </c>
      <c r="B110" s="9" t="s">
        <v>386</v>
      </c>
      <c r="C110" s="7">
        <v>160</v>
      </c>
      <c r="D110" s="7">
        <v>5.2</v>
      </c>
      <c r="E110" s="7">
        <v>48.5</v>
      </c>
      <c r="F110" s="7">
        <v>96.5</v>
      </c>
      <c r="G110" s="7" t="s">
        <v>100</v>
      </c>
      <c r="H110" s="7">
        <v>160</v>
      </c>
      <c r="I110" s="7" t="s">
        <v>358</v>
      </c>
      <c r="J110" s="7">
        <v>160</v>
      </c>
      <c r="K110" s="7" t="s">
        <v>359</v>
      </c>
      <c r="L110" s="7">
        <v>330.33633775600885</v>
      </c>
      <c r="M110" s="7" t="s">
        <v>360</v>
      </c>
      <c r="N110" s="7">
        <v>160</v>
      </c>
      <c r="O110" s="7" t="s">
        <v>359</v>
      </c>
      <c r="P110" s="8">
        <v>330.33633775600885</v>
      </c>
      <c r="V110" s="13">
        <v>48</v>
      </c>
    </row>
    <row r="111" spans="1:22">
      <c r="A111" s="7" t="s">
        <v>387</v>
      </c>
      <c r="B111" s="9" t="s">
        <v>388</v>
      </c>
      <c r="C111" s="7">
        <v>150</v>
      </c>
      <c r="D111" s="7">
        <v>5.5</v>
      </c>
      <c r="E111" s="7">
        <v>48.5</v>
      </c>
      <c r="F111" s="7">
        <v>96.5</v>
      </c>
      <c r="G111" s="7" t="s">
        <v>100</v>
      </c>
      <c r="H111" s="7">
        <v>150</v>
      </c>
      <c r="I111" s="7" t="s">
        <v>358</v>
      </c>
      <c r="J111" s="7">
        <v>150</v>
      </c>
      <c r="K111" s="7" t="s">
        <v>359</v>
      </c>
      <c r="L111" s="7">
        <v>330.33633775600885</v>
      </c>
      <c r="M111" s="7" t="s">
        <v>360</v>
      </c>
      <c r="N111" s="7">
        <v>150</v>
      </c>
      <c r="O111" s="7" t="s">
        <v>359</v>
      </c>
      <c r="P111" s="8">
        <v>330.33633775600885</v>
      </c>
      <c r="V111" s="13">
        <v>48</v>
      </c>
    </row>
    <row r="112" spans="1:22">
      <c r="A112" s="7" t="s">
        <v>389</v>
      </c>
      <c r="B112" s="9" t="s">
        <v>390</v>
      </c>
      <c r="C112" s="7">
        <v>150</v>
      </c>
      <c r="D112" s="7">
        <v>6</v>
      </c>
      <c r="E112" s="7">
        <v>48.5</v>
      </c>
      <c r="F112" s="7">
        <v>96.5</v>
      </c>
      <c r="G112" s="7" t="s">
        <v>290</v>
      </c>
      <c r="H112" s="7">
        <v>150</v>
      </c>
      <c r="I112" s="7" t="s">
        <v>370</v>
      </c>
      <c r="J112" s="7">
        <v>150</v>
      </c>
      <c r="K112" s="7" t="s">
        <v>359</v>
      </c>
      <c r="L112" s="7">
        <v>330.33633775600885</v>
      </c>
      <c r="M112" s="7" t="s">
        <v>360</v>
      </c>
      <c r="N112" s="7">
        <v>150</v>
      </c>
      <c r="O112" s="7" t="s">
        <v>359</v>
      </c>
      <c r="P112" s="8">
        <v>330.33633775600885</v>
      </c>
      <c r="V112" s="13">
        <v>48</v>
      </c>
    </row>
    <row r="113" spans="1:22">
      <c r="A113" s="7" t="s">
        <v>391</v>
      </c>
      <c r="B113" s="9" t="s">
        <v>392</v>
      </c>
      <c r="C113" s="7">
        <v>100</v>
      </c>
      <c r="D113" s="7">
        <v>9</v>
      </c>
      <c r="E113" s="7">
        <v>48.5</v>
      </c>
      <c r="F113" s="7">
        <v>96.5</v>
      </c>
      <c r="G113" s="7" t="s">
        <v>190</v>
      </c>
      <c r="H113" s="7">
        <v>100</v>
      </c>
      <c r="I113" s="7" t="s">
        <v>370</v>
      </c>
      <c r="J113" s="7">
        <v>100</v>
      </c>
      <c r="K113" s="7" t="s">
        <v>359</v>
      </c>
      <c r="L113" s="7">
        <v>330.33633775600885</v>
      </c>
      <c r="M113" s="7" t="s">
        <v>360</v>
      </c>
      <c r="N113" s="7">
        <v>100</v>
      </c>
      <c r="O113" s="7" t="s">
        <v>359</v>
      </c>
      <c r="P113" s="8">
        <v>330.33633775600885</v>
      </c>
      <c r="V113" s="13">
        <v>48</v>
      </c>
    </row>
    <row r="114" spans="1:22">
      <c r="A114" s="7" t="s">
        <v>393</v>
      </c>
      <c r="B114" s="9" t="s">
        <v>394</v>
      </c>
      <c r="C114" s="7">
        <v>75</v>
      </c>
      <c r="D114" s="7">
        <v>12</v>
      </c>
      <c r="E114" s="7">
        <v>48.5</v>
      </c>
      <c r="F114" s="7">
        <v>96.5</v>
      </c>
      <c r="G114" s="7" t="s">
        <v>395</v>
      </c>
      <c r="H114" s="7">
        <v>75</v>
      </c>
      <c r="I114" s="7" t="s">
        <v>396</v>
      </c>
      <c r="J114" s="7">
        <v>75</v>
      </c>
      <c r="K114" s="7" t="s">
        <v>258</v>
      </c>
      <c r="L114" s="7">
        <v>330.33633775600885</v>
      </c>
      <c r="M114" s="7" t="s">
        <v>397</v>
      </c>
      <c r="N114" s="7">
        <v>75</v>
      </c>
      <c r="O114" s="7" t="s">
        <v>258</v>
      </c>
      <c r="P114" s="8">
        <v>379.88678841941015</v>
      </c>
      <c r="V114" s="13">
        <v>48</v>
      </c>
    </row>
    <row r="115" spans="1:22">
      <c r="A115" s="7" t="s">
        <v>398</v>
      </c>
      <c r="B115" s="9" t="s">
        <v>399</v>
      </c>
      <c r="C115" s="7">
        <v>75</v>
      </c>
      <c r="D115" s="7">
        <v>12</v>
      </c>
      <c r="E115" s="7">
        <v>48.5</v>
      </c>
      <c r="F115" s="7">
        <v>96.5</v>
      </c>
      <c r="G115" s="7" t="s">
        <v>395</v>
      </c>
      <c r="H115" s="7">
        <v>75</v>
      </c>
      <c r="I115" s="7" t="s">
        <v>379</v>
      </c>
      <c r="J115" s="7">
        <v>75</v>
      </c>
      <c r="K115" s="7" t="s">
        <v>258</v>
      </c>
      <c r="L115" s="7">
        <v>330.33633775600885</v>
      </c>
      <c r="M115" s="7" t="s">
        <v>364</v>
      </c>
      <c r="N115" s="7">
        <v>75</v>
      </c>
      <c r="O115" s="7" t="s">
        <v>258</v>
      </c>
      <c r="P115" s="8">
        <v>330.33633775600885</v>
      </c>
      <c r="V115" s="13">
        <v>48</v>
      </c>
    </row>
    <row r="116" spans="1:22">
      <c r="A116" s="7" t="s">
        <v>400</v>
      </c>
      <c r="B116" s="9" t="s">
        <v>401</v>
      </c>
      <c r="C116" s="7">
        <v>75</v>
      </c>
      <c r="D116" s="7">
        <v>12</v>
      </c>
      <c r="E116" s="7">
        <v>48.5</v>
      </c>
      <c r="F116" s="7">
        <v>96.5</v>
      </c>
      <c r="G116" s="7" t="s">
        <v>395</v>
      </c>
      <c r="H116" s="7">
        <v>75</v>
      </c>
      <c r="I116" s="7" t="s">
        <v>363</v>
      </c>
      <c r="J116" s="7">
        <v>75</v>
      </c>
      <c r="K116" s="7" t="s">
        <v>258</v>
      </c>
      <c r="L116" s="7">
        <v>330.33633775600885</v>
      </c>
      <c r="M116" s="7" t="s">
        <v>364</v>
      </c>
      <c r="N116" s="7">
        <v>75</v>
      </c>
      <c r="O116" s="7" t="s">
        <v>258</v>
      </c>
      <c r="P116" s="8">
        <v>330.33633775600885</v>
      </c>
      <c r="V116" s="13">
        <v>48</v>
      </c>
    </row>
    <row r="117" spans="1:22">
      <c r="A117" s="7" t="s">
        <v>402</v>
      </c>
      <c r="B117" s="9" t="s">
        <v>403</v>
      </c>
      <c r="C117" s="7">
        <v>75</v>
      </c>
      <c r="D117" s="7">
        <v>12</v>
      </c>
      <c r="E117" s="7">
        <v>48.5</v>
      </c>
      <c r="F117" s="7">
        <v>96.5</v>
      </c>
      <c r="G117" s="7" t="s">
        <v>395</v>
      </c>
      <c r="H117" s="7">
        <v>75</v>
      </c>
      <c r="I117" s="7" t="s">
        <v>363</v>
      </c>
      <c r="J117" s="7">
        <v>75</v>
      </c>
      <c r="K117" s="7" t="s">
        <v>258</v>
      </c>
      <c r="L117" s="7">
        <v>330.33633775600885</v>
      </c>
      <c r="M117" s="7" t="s">
        <v>364</v>
      </c>
      <c r="N117" s="7">
        <v>75</v>
      </c>
      <c r="O117" s="7" t="s">
        <v>258</v>
      </c>
      <c r="P117" s="8">
        <v>330.33633775600885</v>
      </c>
      <c r="V117" s="13">
        <v>48</v>
      </c>
    </row>
    <row r="118" spans="1:22">
      <c r="A118" s="7" t="s">
        <v>404</v>
      </c>
      <c r="B118" s="9" t="s">
        <v>405</v>
      </c>
      <c r="C118" s="7">
        <v>75</v>
      </c>
      <c r="D118" s="7">
        <v>12</v>
      </c>
      <c r="E118" s="7">
        <v>48.5</v>
      </c>
      <c r="F118" s="7">
        <v>96.5</v>
      </c>
      <c r="G118" s="7" t="s">
        <v>395</v>
      </c>
      <c r="H118" s="7">
        <v>75</v>
      </c>
      <c r="I118" s="7" t="s">
        <v>363</v>
      </c>
      <c r="J118" s="7">
        <v>75</v>
      </c>
      <c r="K118" s="7" t="s">
        <v>258</v>
      </c>
      <c r="L118" s="7">
        <v>330.33633775600885</v>
      </c>
      <c r="M118" s="7" t="s">
        <v>364</v>
      </c>
      <c r="N118" s="7">
        <v>75</v>
      </c>
      <c r="O118" s="7" t="s">
        <v>258</v>
      </c>
      <c r="P118" s="8">
        <v>330.33633775600885</v>
      </c>
      <c r="V118" s="13">
        <v>48</v>
      </c>
    </row>
    <row r="119" spans="1:22">
      <c r="A119" s="7" t="s">
        <v>406</v>
      </c>
      <c r="B119" s="9" t="s">
        <v>407</v>
      </c>
      <c r="C119" s="7">
        <v>50</v>
      </c>
      <c r="D119" s="7">
        <v>18</v>
      </c>
      <c r="E119" s="7">
        <v>48.5</v>
      </c>
      <c r="F119" s="7">
        <v>96.5</v>
      </c>
      <c r="G119" s="7" t="s">
        <v>205</v>
      </c>
      <c r="H119" s="7">
        <v>50</v>
      </c>
      <c r="I119" s="7" t="s">
        <v>382</v>
      </c>
      <c r="J119" s="7">
        <v>50</v>
      </c>
      <c r="K119" s="7" t="s">
        <v>258</v>
      </c>
      <c r="L119" s="7">
        <v>330.33633775600885</v>
      </c>
      <c r="M119" s="7" t="s">
        <v>364</v>
      </c>
      <c r="N119" s="7">
        <v>50</v>
      </c>
      <c r="O119" s="7" t="s">
        <v>258</v>
      </c>
      <c r="P119" s="8">
        <v>330.33633775600885</v>
      </c>
      <c r="V119" s="13">
        <v>48</v>
      </c>
    </row>
    <row r="120" spans="1:22">
      <c r="A120" s="7" t="s">
        <v>408</v>
      </c>
      <c r="B120" s="9" t="s">
        <v>409</v>
      </c>
      <c r="C120" s="7">
        <v>60</v>
      </c>
      <c r="D120" s="7">
        <v>15</v>
      </c>
      <c r="E120" s="7">
        <v>48.5</v>
      </c>
      <c r="F120" s="7">
        <v>96.5</v>
      </c>
      <c r="G120" s="7" t="s">
        <v>410</v>
      </c>
      <c r="H120" s="7">
        <v>60</v>
      </c>
      <c r="I120" s="7" t="s">
        <v>363</v>
      </c>
      <c r="J120" s="7">
        <v>60</v>
      </c>
      <c r="K120" s="7" t="s">
        <v>258</v>
      </c>
      <c r="L120" s="7">
        <v>330.33633775600885</v>
      </c>
      <c r="M120" s="7" t="s">
        <v>364</v>
      </c>
      <c r="N120" s="7">
        <v>60</v>
      </c>
      <c r="O120" s="7" t="s">
        <v>258</v>
      </c>
      <c r="P120" s="8">
        <v>330.33633775600885</v>
      </c>
      <c r="V120" s="13">
        <v>48</v>
      </c>
    </row>
    <row r="121" spans="1:22">
      <c r="A121" s="7" t="s">
        <v>411</v>
      </c>
      <c r="B121" s="9" t="s">
        <v>412</v>
      </c>
      <c r="C121" s="7">
        <v>60</v>
      </c>
      <c r="D121" s="7">
        <v>15</v>
      </c>
      <c r="E121" s="7">
        <v>48.5</v>
      </c>
      <c r="F121" s="7">
        <v>96.5</v>
      </c>
      <c r="G121" s="7" t="s">
        <v>410</v>
      </c>
      <c r="H121" s="7">
        <v>60</v>
      </c>
      <c r="I121" s="7" t="s">
        <v>363</v>
      </c>
      <c r="J121" s="7">
        <v>60</v>
      </c>
      <c r="K121" s="7" t="s">
        <v>258</v>
      </c>
      <c r="L121" s="7">
        <v>330.33633775600885</v>
      </c>
      <c r="M121" s="7" t="s">
        <v>364</v>
      </c>
      <c r="N121" s="7">
        <v>60</v>
      </c>
      <c r="O121" s="7" t="s">
        <v>258</v>
      </c>
      <c r="P121" s="8">
        <v>330.33633775600885</v>
      </c>
      <c r="V121" s="13">
        <v>48</v>
      </c>
    </row>
    <row r="122" spans="1:22">
      <c r="A122" s="7" t="s">
        <v>413</v>
      </c>
      <c r="B122" s="9" t="s">
        <v>414</v>
      </c>
      <c r="C122" s="7">
        <v>50</v>
      </c>
      <c r="D122" s="7">
        <v>18</v>
      </c>
      <c r="E122" s="7">
        <v>48.5</v>
      </c>
      <c r="F122" s="7">
        <v>96.5</v>
      </c>
      <c r="G122" s="7" t="s">
        <v>205</v>
      </c>
      <c r="H122" s="7">
        <v>50</v>
      </c>
      <c r="I122" s="7" t="s">
        <v>363</v>
      </c>
      <c r="J122" s="7">
        <v>50</v>
      </c>
      <c r="K122" s="7" t="s">
        <v>258</v>
      </c>
      <c r="L122" s="7">
        <v>330.33633775600885</v>
      </c>
      <c r="M122" s="7" t="s">
        <v>364</v>
      </c>
      <c r="N122" s="7">
        <v>50</v>
      </c>
      <c r="O122" s="7" t="s">
        <v>258</v>
      </c>
      <c r="P122" s="8">
        <v>330.33633775600885</v>
      </c>
      <c r="V122" s="13">
        <v>48</v>
      </c>
    </row>
    <row r="123" spans="1:22">
      <c r="A123" s="7" t="s">
        <v>415</v>
      </c>
      <c r="B123" s="9" t="s">
        <v>416</v>
      </c>
      <c r="C123" s="7">
        <v>50</v>
      </c>
      <c r="D123" s="7">
        <v>18</v>
      </c>
      <c r="E123" s="7">
        <v>48.5</v>
      </c>
      <c r="F123" s="7">
        <v>96.5</v>
      </c>
      <c r="G123" s="7" t="s">
        <v>205</v>
      </c>
      <c r="H123" s="7">
        <v>50</v>
      </c>
      <c r="I123" s="7" t="s">
        <v>363</v>
      </c>
      <c r="J123" s="7">
        <v>50</v>
      </c>
      <c r="K123" s="7" t="s">
        <v>258</v>
      </c>
      <c r="L123" s="7">
        <v>330.33633775600885</v>
      </c>
      <c r="M123" s="7" t="s">
        <v>364</v>
      </c>
      <c r="N123" s="7">
        <v>50</v>
      </c>
      <c r="O123" s="7" t="s">
        <v>258</v>
      </c>
      <c r="P123" s="8">
        <v>330.33633775600885</v>
      </c>
      <c r="V123" s="13">
        <v>48</v>
      </c>
    </row>
    <row r="124" spans="1:22">
      <c r="A124" s="7" t="s">
        <v>417</v>
      </c>
      <c r="B124" s="9" t="s">
        <v>418</v>
      </c>
      <c r="C124" s="7">
        <v>50</v>
      </c>
      <c r="D124" s="7">
        <v>18</v>
      </c>
      <c r="E124" s="7">
        <v>48.5</v>
      </c>
      <c r="F124" s="7">
        <v>96.5</v>
      </c>
      <c r="G124" s="7" t="s">
        <v>205</v>
      </c>
      <c r="H124" s="7">
        <v>50</v>
      </c>
      <c r="I124" s="7" t="s">
        <v>379</v>
      </c>
      <c r="J124" s="7">
        <v>50</v>
      </c>
      <c r="K124" s="7" t="s">
        <v>258</v>
      </c>
      <c r="L124" s="7">
        <v>330.33633775600885</v>
      </c>
      <c r="M124" s="7" t="s">
        <v>364</v>
      </c>
      <c r="N124" s="7">
        <v>50</v>
      </c>
      <c r="O124" s="7" t="s">
        <v>258</v>
      </c>
      <c r="P124" s="8">
        <v>330.33633775600885</v>
      </c>
      <c r="V124" s="13">
        <v>48</v>
      </c>
    </row>
    <row r="125" spans="1:22">
      <c r="A125" s="7" t="s">
        <v>419</v>
      </c>
      <c r="B125" s="9" t="s">
        <v>420</v>
      </c>
      <c r="C125" s="7">
        <v>50</v>
      </c>
      <c r="D125" s="7">
        <v>18</v>
      </c>
      <c r="E125" s="7">
        <v>48.5</v>
      </c>
      <c r="F125" s="7">
        <v>96.5</v>
      </c>
      <c r="G125" s="7" t="s">
        <v>205</v>
      </c>
      <c r="H125" s="7">
        <v>50</v>
      </c>
      <c r="I125" s="7" t="s">
        <v>382</v>
      </c>
      <c r="J125" s="7">
        <v>50</v>
      </c>
      <c r="K125" s="7" t="s">
        <v>258</v>
      </c>
      <c r="L125" s="7">
        <v>330.33633775600885</v>
      </c>
      <c r="M125" s="7" t="s">
        <v>364</v>
      </c>
      <c r="N125" s="7">
        <v>50</v>
      </c>
      <c r="O125" s="7" t="s">
        <v>258</v>
      </c>
      <c r="P125" s="8">
        <v>330.33633775600885</v>
      </c>
      <c r="V125" s="13">
        <v>48</v>
      </c>
    </row>
    <row r="126" spans="1:22">
      <c r="A126" s="7" t="s">
        <v>421</v>
      </c>
      <c r="B126" s="9" t="s">
        <v>422</v>
      </c>
      <c r="C126" s="7">
        <v>50</v>
      </c>
      <c r="D126" s="7">
        <v>18</v>
      </c>
      <c r="E126" s="7">
        <v>48.5</v>
      </c>
      <c r="F126" s="7">
        <v>96.5</v>
      </c>
      <c r="G126" s="7" t="s">
        <v>423</v>
      </c>
      <c r="H126" s="7">
        <v>50</v>
      </c>
      <c r="I126" s="7" t="s">
        <v>379</v>
      </c>
      <c r="J126" s="7">
        <v>50</v>
      </c>
      <c r="K126" s="7" t="s">
        <v>258</v>
      </c>
      <c r="L126" s="7">
        <v>330.33633775600885</v>
      </c>
      <c r="M126" s="7" t="s">
        <v>364</v>
      </c>
      <c r="N126" s="7">
        <v>50</v>
      </c>
      <c r="O126" s="7" t="s">
        <v>258</v>
      </c>
      <c r="P126" s="8">
        <v>330.33633775600885</v>
      </c>
      <c r="V126" s="13">
        <v>48</v>
      </c>
    </row>
    <row r="127" spans="1:22">
      <c r="A127" s="7" t="s">
        <v>424</v>
      </c>
      <c r="B127" s="9" t="s">
        <v>425</v>
      </c>
      <c r="C127" s="7">
        <v>50</v>
      </c>
      <c r="D127" s="7">
        <v>18</v>
      </c>
      <c r="E127" s="7">
        <v>48.5</v>
      </c>
      <c r="F127" s="7">
        <v>96.5</v>
      </c>
      <c r="G127" s="7" t="s">
        <v>423</v>
      </c>
      <c r="H127" s="7">
        <v>50</v>
      </c>
      <c r="I127" s="7" t="s">
        <v>379</v>
      </c>
      <c r="J127" s="7">
        <v>50</v>
      </c>
      <c r="K127" s="7" t="s">
        <v>258</v>
      </c>
      <c r="L127" s="7">
        <v>330.33633775600885</v>
      </c>
      <c r="M127" s="7" t="s">
        <v>364</v>
      </c>
      <c r="N127" s="7">
        <v>50</v>
      </c>
      <c r="O127" s="7" t="s">
        <v>258</v>
      </c>
      <c r="P127" s="8">
        <v>330.33633775600885</v>
      </c>
      <c r="V127" s="13">
        <v>48</v>
      </c>
    </row>
    <row r="128" spans="1:22">
      <c r="A128" s="7" t="s">
        <v>426</v>
      </c>
      <c r="B128" s="9" t="s">
        <v>427</v>
      </c>
      <c r="C128" s="7">
        <v>50</v>
      </c>
      <c r="D128" s="7">
        <v>18</v>
      </c>
      <c r="E128" s="7">
        <v>48.5</v>
      </c>
      <c r="F128" s="7">
        <v>96.5</v>
      </c>
      <c r="G128" s="7" t="s">
        <v>423</v>
      </c>
      <c r="H128" s="7">
        <v>50</v>
      </c>
      <c r="I128" s="7" t="s">
        <v>382</v>
      </c>
      <c r="J128" s="7">
        <v>50</v>
      </c>
      <c r="K128" s="7" t="s">
        <v>258</v>
      </c>
      <c r="L128" s="7">
        <v>330.33633775600885</v>
      </c>
      <c r="M128" s="7" t="s">
        <v>364</v>
      </c>
      <c r="N128" s="7">
        <v>50</v>
      </c>
      <c r="O128" s="7" t="s">
        <v>258</v>
      </c>
      <c r="P128" s="8">
        <v>330.33633775600885</v>
      </c>
      <c r="V128" s="13">
        <v>48</v>
      </c>
    </row>
    <row r="129" spans="1:22">
      <c r="A129" s="7" t="s">
        <v>428</v>
      </c>
      <c r="B129" s="9" t="s">
        <v>429</v>
      </c>
      <c r="C129" s="7">
        <v>45</v>
      </c>
      <c r="D129" s="7">
        <v>19</v>
      </c>
      <c r="E129" s="7">
        <v>48.5</v>
      </c>
      <c r="F129" s="7">
        <v>96.5</v>
      </c>
      <c r="G129" s="7" t="s">
        <v>353</v>
      </c>
      <c r="H129" s="7">
        <v>45</v>
      </c>
      <c r="I129" s="7" t="s">
        <v>396</v>
      </c>
      <c r="J129" s="7">
        <v>45</v>
      </c>
      <c r="K129" s="7" t="s">
        <v>359</v>
      </c>
      <c r="L129" s="7">
        <v>330.33633775600885</v>
      </c>
      <c r="M129" s="7" t="s">
        <v>397</v>
      </c>
      <c r="N129" s="7">
        <v>45</v>
      </c>
      <c r="O129" s="7" t="s">
        <v>359</v>
      </c>
      <c r="P129" s="8">
        <v>379.88678841941015</v>
      </c>
      <c r="V129" s="13">
        <v>48</v>
      </c>
    </row>
    <row r="130" spans="1:22">
      <c r="A130" s="7" t="s">
        <v>430</v>
      </c>
      <c r="B130" s="9" t="s">
        <v>431</v>
      </c>
      <c r="C130" s="7">
        <v>50</v>
      </c>
      <c r="D130" s="7">
        <v>18</v>
      </c>
      <c r="E130" s="7">
        <v>48.5</v>
      </c>
      <c r="F130" s="7">
        <v>96.5</v>
      </c>
      <c r="G130" s="7" t="s">
        <v>205</v>
      </c>
      <c r="H130" s="7">
        <v>50</v>
      </c>
      <c r="I130" s="7" t="s">
        <v>358</v>
      </c>
      <c r="J130" s="7">
        <v>50</v>
      </c>
      <c r="K130" s="7" t="s">
        <v>258</v>
      </c>
      <c r="L130" s="7">
        <v>330.33633775600885</v>
      </c>
      <c r="M130" s="7" t="s">
        <v>360</v>
      </c>
      <c r="N130" s="7">
        <v>50</v>
      </c>
      <c r="O130" s="7" t="s">
        <v>258</v>
      </c>
      <c r="P130" s="8">
        <v>330.33633775600885</v>
      </c>
      <c r="V130" s="13">
        <v>48</v>
      </c>
    </row>
    <row r="131" spans="1:22">
      <c r="A131" s="7" t="s">
        <v>432</v>
      </c>
      <c r="B131" s="9" t="s">
        <v>433</v>
      </c>
      <c r="C131" s="7">
        <v>50</v>
      </c>
      <c r="D131" s="7">
        <v>18</v>
      </c>
      <c r="E131" s="7">
        <v>48.5</v>
      </c>
      <c r="F131" s="7">
        <v>96.5</v>
      </c>
      <c r="G131" s="7" t="s">
        <v>434</v>
      </c>
      <c r="H131" s="7">
        <v>50</v>
      </c>
      <c r="I131" s="7" t="s">
        <v>363</v>
      </c>
      <c r="J131" s="7">
        <v>50</v>
      </c>
      <c r="K131" s="7" t="s">
        <v>359</v>
      </c>
      <c r="L131" s="7">
        <v>330.33633775600885</v>
      </c>
      <c r="M131" s="7" t="s">
        <v>364</v>
      </c>
      <c r="N131" s="7">
        <v>50</v>
      </c>
      <c r="O131" s="7" t="s">
        <v>359</v>
      </c>
      <c r="P131" s="8">
        <v>330.33633775600885</v>
      </c>
      <c r="V131" s="13">
        <v>48</v>
      </c>
    </row>
    <row r="132" spans="1:22">
      <c r="A132" s="7" t="s">
        <v>435</v>
      </c>
      <c r="B132" s="9" t="s">
        <v>436</v>
      </c>
      <c r="C132" s="7">
        <v>50</v>
      </c>
      <c r="D132" s="7">
        <v>18</v>
      </c>
      <c r="E132" s="7">
        <v>48.5</v>
      </c>
      <c r="F132" s="7">
        <v>96.5</v>
      </c>
      <c r="G132" s="7" t="s">
        <v>434</v>
      </c>
      <c r="H132" s="7">
        <v>50</v>
      </c>
      <c r="I132" s="7" t="s">
        <v>382</v>
      </c>
      <c r="J132" s="7">
        <v>50</v>
      </c>
      <c r="K132" s="7" t="s">
        <v>359</v>
      </c>
      <c r="L132" s="7">
        <v>330.33633775600885</v>
      </c>
      <c r="M132" s="7" t="s">
        <v>364</v>
      </c>
      <c r="N132" s="7">
        <v>50</v>
      </c>
      <c r="O132" s="7" t="s">
        <v>359</v>
      </c>
      <c r="P132" s="8">
        <v>330.33633775600885</v>
      </c>
      <c r="V132" s="13">
        <v>48</v>
      </c>
    </row>
    <row r="133" spans="1:22">
      <c r="A133" s="7" t="s">
        <v>437</v>
      </c>
      <c r="B133" s="9" t="s">
        <v>438</v>
      </c>
      <c r="C133" s="7">
        <v>50</v>
      </c>
      <c r="D133" s="7">
        <v>19</v>
      </c>
      <c r="E133" s="7">
        <v>49</v>
      </c>
      <c r="F133" s="7">
        <v>97</v>
      </c>
      <c r="G133" s="7" t="s">
        <v>62</v>
      </c>
      <c r="H133" s="7">
        <v>50</v>
      </c>
      <c r="I133" s="7" t="s">
        <v>439</v>
      </c>
      <c r="J133" s="7">
        <v>50</v>
      </c>
      <c r="K133" s="7" t="s">
        <v>440</v>
      </c>
      <c r="L133" s="7">
        <v>361.17655568644466</v>
      </c>
      <c r="M133" s="7" t="s">
        <v>441</v>
      </c>
      <c r="N133" s="7">
        <v>50</v>
      </c>
      <c r="O133" s="7" t="s">
        <v>440</v>
      </c>
      <c r="P133" s="8">
        <v>361.17655568644466</v>
      </c>
      <c r="V133" s="13">
        <v>48</v>
      </c>
    </row>
    <row r="134" spans="1:22">
      <c r="A134" s="7" t="s">
        <v>442</v>
      </c>
      <c r="B134" s="9" t="s">
        <v>443</v>
      </c>
      <c r="C134" s="7">
        <v>50</v>
      </c>
      <c r="D134" s="7">
        <v>19</v>
      </c>
      <c r="E134" s="7">
        <v>48.5</v>
      </c>
      <c r="F134" s="7">
        <v>120.5</v>
      </c>
      <c r="G134" s="7" t="s">
        <v>444</v>
      </c>
      <c r="H134" s="7">
        <v>50</v>
      </c>
      <c r="I134" s="7" t="s">
        <v>445</v>
      </c>
      <c r="J134" s="7">
        <v>50</v>
      </c>
      <c r="K134" s="7" t="s">
        <v>440</v>
      </c>
      <c r="L134" s="7">
        <v>449.41521827488089</v>
      </c>
      <c r="M134" s="7" t="s">
        <v>446</v>
      </c>
      <c r="N134" s="7">
        <v>50</v>
      </c>
      <c r="O134" s="7" t="s">
        <v>440</v>
      </c>
      <c r="P134" s="8">
        <v>449.41521827488089</v>
      </c>
      <c r="V134" s="13">
        <v>48</v>
      </c>
    </row>
    <row r="135" spans="1:22">
      <c r="A135" s="7" t="s">
        <v>447</v>
      </c>
      <c r="B135" s="9" t="s">
        <v>448</v>
      </c>
      <c r="C135" s="7">
        <v>50</v>
      </c>
      <c r="D135" s="7">
        <v>19</v>
      </c>
      <c r="E135" s="7">
        <v>48.5</v>
      </c>
      <c r="F135" s="7">
        <v>96.5</v>
      </c>
      <c r="G135" s="7" t="s">
        <v>62</v>
      </c>
      <c r="H135" s="7">
        <v>50</v>
      </c>
      <c r="I135" s="7" t="s">
        <v>449</v>
      </c>
      <c r="J135" s="7">
        <v>50</v>
      </c>
      <c r="K135" s="7" t="s">
        <v>440</v>
      </c>
      <c r="L135" s="7">
        <v>361.17655568644466</v>
      </c>
      <c r="M135" s="7" t="s">
        <v>441</v>
      </c>
      <c r="N135" s="7">
        <v>50</v>
      </c>
      <c r="O135" s="7" t="s">
        <v>440</v>
      </c>
      <c r="P135" s="8">
        <v>361.17655568644466</v>
      </c>
      <c r="V135" s="13">
        <v>48</v>
      </c>
    </row>
    <row r="136" spans="1:22">
      <c r="A136" s="7" t="s">
        <v>450</v>
      </c>
      <c r="B136" s="9" t="s">
        <v>451</v>
      </c>
      <c r="C136" s="7">
        <v>50</v>
      </c>
      <c r="D136" s="7">
        <v>19</v>
      </c>
      <c r="E136" s="7">
        <v>49</v>
      </c>
      <c r="F136" s="7">
        <v>97</v>
      </c>
      <c r="G136" s="7" t="s">
        <v>62</v>
      </c>
      <c r="H136" s="7">
        <v>50</v>
      </c>
      <c r="I136" s="7" t="s">
        <v>449</v>
      </c>
      <c r="J136" s="7">
        <v>50</v>
      </c>
      <c r="K136" s="7" t="s">
        <v>440</v>
      </c>
      <c r="L136" s="7">
        <v>361.17655568644466</v>
      </c>
      <c r="M136" s="7" t="s">
        <v>452</v>
      </c>
      <c r="N136" s="7">
        <v>50</v>
      </c>
      <c r="O136" s="7" t="s">
        <v>440</v>
      </c>
      <c r="P136" s="8">
        <v>361.17655568644466</v>
      </c>
      <c r="V136" s="13">
        <v>48</v>
      </c>
    </row>
    <row r="137" spans="1:22">
      <c r="A137" s="7" t="s">
        <v>453</v>
      </c>
      <c r="B137" s="9" t="s">
        <v>454</v>
      </c>
      <c r="C137" s="7">
        <v>50</v>
      </c>
      <c r="D137" s="7">
        <v>19</v>
      </c>
      <c r="E137" s="7">
        <v>48.5</v>
      </c>
      <c r="F137" s="7">
        <v>120.5</v>
      </c>
      <c r="G137" s="7" t="s">
        <v>444</v>
      </c>
      <c r="H137" s="7">
        <v>50</v>
      </c>
      <c r="I137" s="7" t="s">
        <v>445</v>
      </c>
      <c r="J137" s="7">
        <v>50</v>
      </c>
      <c r="K137" s="7" t="s">
        <v>440</v>
      </c>
      <c r="L137" s="7">
        <v>449.41521827488089</v>
      </c>
      <c r="M137" s="7" t="s">
        <v>455</v>
      </c>
      <c r="N137" s="7">
        <v>50</v>
      </c>
      <c r="O137" s="7" t="s">
        <v>440</v>
      </c>
      <c r="P137" s="8">
        <v>449.41521827488089</v>
      </c>
      <c r="V137" s="13">
        <v>48</v>
      </c>
    </row>
    <row r="138" spans="1:22">
      <c r="A138" s="7" t="s">
        <v>456</v>
      </c>
      <c r="B138" s="9" t="s">
        <v>457</v>
      </c>
      <c r="C138" s="7">
        <v>50</v>
      </c>
      <c r="D138" s="7">
        <v>19</v>
      </c>
      <c r="E138" s="7">
        <v>49</v>
      </c>
      <c r="F138" s="7">
        <v>97</v>
      </c>
      <c r="G138" s="7" t="s">
        <v>62</v>
      </c>
      <c r="H138" s="7">
        <v>50</v>
      </c>
      <c r="I138" s="7" t="s">
        <v>458</v>
      </c>
      <c r="J138" s="7">
        <v>50</v>
      </c>
      <c r="K138" s="7" t="s">
        <v>440</v>
      </c>
      <c r="L138" s="7">
        <v>361.17655568644466</v>
      </c>
      <c r="M138" s="7" t="s">
        <v>441</v>
      </c>
      <c r="N138" s="7">
        <v>50</v>
      </c>
      <c r="O138" s="7" t="s">
        <v>440</v>
      </c>
      <c r="P138" s="8">
        <v>361.17655568644466</v>
      </c>
      <c r="V138" s="13">
        <v>48</v>
      </c>
    </row>
    <row r="139" spans="1:22">
      <c r="A139" s="7" t="s">
        <v>459</v>
      </c>
      <c r="B139" s="9" t="s">
        <v>460</v>
      </c>
      <c r="C139" s="7">
        <v>50</v>
      </c>
      <c r="D139" s="7">
        <v>19</v>
      </c>
      <c r="E139" s="7">
        <v>48.5</v>
      </c>
      <c r="F139" s="7">
        <v>96.5</v>
      </c>
      <c r="G139" s="7" t="s">
        <v>62</v>
      </c>
      <c r="H139" s="7">
        <v>50</v>
      </c>
      <c r="I139" s="7" t="s">
        <v>461</v>
      </c>
      <c r="J139" s="7">
        <v>50</v>
      </c>
      <c r="K139" s="7" t="s">
        <v>440</v>
      </c>
      <c r="L139" s="7">
        <v>361.17655568644466</v>
      </c>
      <c r="M139" s="7" t="s">
        <v>441</v>
      </c>
      <c r="N139" s="7">
        <v>50</v>
      </c>
      <c r="O139" s="7" t="s">
        <v>440</v>
      </c>
      <c r="P139" s="8">
        <v>361.17655568644466</v>
      </c>
      <c r="V139" s="13">
        <v>48</v>
      </c>
    </row>
    <row r="140" spans="1:22">
      <c r="A140" s="7" t="s">
        <v>462</v>
      </c>
      <c r="B140" s="9" t="s">
        <v>463</v>
      </c>
      <c r="C140" s="7">
        <v>225</v>
      </c>
      <c r="D140" s="7">
        <v>3.6</v>
      </c>
      <c r="E140" s="7">
        <v>48.5</v>
      </c>
      <c r="F140" s="7">
        <v>96.5</v>
      </c>
      <c r="G140" s="7" t="s">
        <v>464</v>
      </c>
      <c r="H140" s="7">
        <v>225</v>
      </c>
      <c r="I140" s="7" t="s">
        <v>449</v>
      </c>
      <c r="J140" s="7">
        <v>225</v>
      </c>
      <c r="K140" s="7" t="s">
        <v>465</v>
      </c>
      <c r="L140" s="7">
        <v>363.36997153160974</v>
      </c>
      <c r="M140" s="7" t="s">
        <v>441</v>
      </c>
      <c r="N140" s="7">
        <v>225</v>
      </c>
      <c r="O140" s="7" t="s">
        <v>465</v>
      </c>
      <c r="P140" s="8">
        <v>363.36997153160974</v>
      </c>
      <c r="V140" s="13">
        <v>48</v>
      </c>
    </row>
    <row r="141" spans="1:22">
      <c r="A141" s="7" t="s">
        <v>466</v>
      </c>
      <c r="B141" s="9" t="s">
        <v>467</v>
      </c>
      <c r="C141" s="7">
        <v>225</v>
      </c>
      <c r="D141" s="7">
        <v>3.6</v>
      </c>
      <c r="E141" s="7">
        <v>48.5</v>
      </c>
      <c r="F141" s="7">
        <v>96.5</v>
      </c>
      <c r="G141" s="7" t="s">
        <v>464</v>
      </c>
      <c r="H141" s="7">
        <v>225</v>
      </c>
      <c r="I141" s="7" t="s">
        <v>468</v>
      </c>
      <c r="J141" s="7">
        <v>225</v>
      </c>
      <c r="K141" s="7" t="s">
        <v>465</v>
      </c>
      <c r="L141" s="7">
        <v>363.36997153160974</v>
      </c>
      <c r="M141" s="7" t="s">
        <v>441</v>
      </c>
      <c r="N141" s="7">
        <v>225</v>
      </c>
      <c r="O141" s="7" t="s">
        <v>465</v>
      </c>
      <c r="P141" s="8">
        <v>363.36997153160974</v>
      </c>
      <c r="V141" s="13">
        <v>48</v>
      </c>
    </row>
    <row r="142" spans="1:22">
      <c r="A142" s="7" t="s">
        <v>469</v>
      </c>
      <c r="B142" s="9" t="s">
        <v>470</v>
      </c>
      <c r="C142" s="7">
        <v>225</v>
      </c>
      <c r="D142" s="7">
        <v>3.6</v>
      </c>
      <c r="E142" s="7">
        <v>48.5</v>
      </c>
      <c r="F142" s="7">
        <v>96.5</v>
      </c>
      <c r="G142" s="7" t="s">
        <v>464</v>
      </c>
      <c r="H142" s="7">
        <v>225</v>
      </c>
      <c r="I142" s="7" t="s">
        <v>468</v>
      </c>
      <c r="J142" s="7">
        <v>225</v>
      </c>
      <c r="K142" s="7" t="s">
        <v>465</v>
      </c>
      <c r="L142" s="7">
        <v>363.36997153160974</v>
      </c>
      <c r="M142" s="7" t="s">
        <v>452</v>
      </c>
      <c r="N142" s="7">
        <v>225</v>
      </c>
      <c r="O142" s="7" t="s">
        <v>465</v>
      </c>
      <c r="P142" s="8">
        <v>363.36997153160974</v>
      </c>
      <c r="V142" s="13">
        <v>48</v>
      </c>
    </row>
    <row r="143" spans="1:22">
      <c r="A143" s="7" t="s">
        <v>471</v>
      </c>
      <c r="B143" s="9" t="s">
        <v>472</v>
      </c>
      <c r="C143" s="7">
        <v>160</v>
      </c>
      <c r="D143" s="7">
        <v>5.2</v>
      </c>
      <c r="E143" s="7">
        <v>48.5</v>
      </c>
      <c r="F143" s="7">
        <v>96.5</v>
      </c>
      <c r="G143" s="7" t="s">
        <v>100</v>
      </c>
      <c r="H143" s="7">
        <v>160</v>
      </c>
      <c r="I143" s="7" t="s">
        <v>449</v>
      </c>
      <c r="J143" s="7">
        <v>160</v>
      </c>
      <c r="K143" s="7" t="s">
        <v>465</v>
      </c>
      <c r="L143" s="7">
        <v>363.36997153160974</v>
      </c>
      <c r="M143" s="7" t="s">
        <v>441</v>
      </c>
      <c r="N143" s="7">
        <v>160</v>
      </c>
      <c r="O143" s="7" t="s">
        <v>465</v>
      </c>
      <c r="P143" s="8">
        <v>363.36997153160974</v>
      </c>
      <c r="V143" s="13">
        <v>48</v>
      </c>
    </row>
    <row r="144" spans="1:22">
      <c r="A144" s="7" t="s">
        <v>473</v>
      </c>
      <c r="B144" s="9" t="s">
        <v>474</v>
      </c>
      <c r="C144" s="7">
        <v>160</v>
      </c>
      <c r="D144" s="7">
        <v>5.2</v>
      </c>
      <c r="E144" s="7">
        <v>48.5</v>
      </c>
      <c r="F144" s="7">
        <v>96.5</v>
      </c>
      <c r="G144" s="7" t="s">
        <v>100</v>
      </c>
      <c r="H144" s="7">
        <v>160</v>
      </c>
      <c r="I144" s="7" t="s">
        <v>468</v>
      </c>
      <c r="J144" s="7">
        <v>160</v>
      </c>
      <c r="K144" s="7" t="s">
        <v>465</v>
      </c>
      <c r="L144" s="7">
        <v>363.36997153160974</v>
      </c>
      <c r="M144" s="7" t="s">
        <v>441</v>
      </c>
      <c r="N144" s="7">
        <v>160</v>
      </c>
      <c r="O144" s="7" t="s">
        <v>465</v>
      </c>
      <c r="P144" s="8">
        <v>363.36997153160974</v>
      </c>
      <c r="V144" s="13">
        <v>48</v>
      </c>
    </row>
    <row r="145" spans="1:22">
      <c r="A145" s="7" t="s">
        <v>475</v>
      </c>
      <c r="B145" s="9" t="s">
        <v>476</v>
      </c>
      <c r="C145" s="7">
        <v>160</v>
      </c>
      <c r="D145" s="7">
        <v>5.2</v>
      </c>
      <c r="E145" s="7">
        <v>48</v>
      </c>
      <c r="F145" s="7">
        <v>96</v>
      </c>
      <c r="G145" s="7" t="s">
        <v>242</v>
      </c>
      <c r="H145" s="7">
        <v>160</v>
      </c>
      <c r="I145" s="7" t="s">
        <v>449</v>
      </c>
      <c r="J145" s="7">
        <v>160</v>
      </c>
      <c r="K145" s="7" t="s">
        <v>465</v>
      </c>
      <c r="L145" s="7">
        <v>357.67940424769745</v>
      </c>
      <c r="M145" s="7" t="s">
        <v>441</v>
      </c>
      <c r="N145" s="7">
        <v>160</v>
      </c>
      <c r="O145" s="7" t="s">
        <v>465</v>
      </c>
      <c r="P145" s="8">
        <v>357.67940424769745</v>
      </c>
      <c r="V145" s="13">
        <v>48</v>
      </c>
    </row>
    <row r="146" spans="1:22">
      <c r="A146" s="7" t="s">
        <v>477</v>
      </c>
      <c r="B146" s="9" t="s">
        <v>478</v>
      </c>
      <c r="C146" s="7">
        <v>160</v>
      </c>
      <c r="D146" s="7">
        <v>5.2</v>
      </c>
      <c r="E146" s="7">
        <v>48.5</v>
      </c>
      <c r="F146" s="7">
        <v>96.5</v>
      </c>
      <c r="G146" s="7" t="s">
        <v>67</v>
      </c>
      <c r="H146" s="7">
        <v>160</v>
      </c>
      <c r="I146" s="7" t="s">
        <v>479</v>
      </c>
      <c r="J146" s="7">
        <v>160</v>
      </c>
      <c r="K146" s="7" t="s">
        <v>480</v>
      </c>
      <c r="L146" s="7">
        <v>363.36997153160974</v>
      </c>
      <c r="M146" s="7" t="s">
        <v>481</v>
      </c>
      <c r="N146" s="7">
        <v>160</v>
      </c>
      <c r="O146" s="7" t="s">
        <v>480</v>
      </c>
      <c r="P146" s="8">
        <v>363.36997153160974</v>
      </c>
      <c r="V146" s="13">
        <v>48</v>
      </c>
    </row>
    <row r="147" spans="1:22">
      <c r="A147" s="7" t="s">
        <v>482</v>
      </c>
      <c r="B147" s="9" t="s">
        <v>483</v>
      </c>
      <c r="C147" s="7">
        <v>160</v>
      </c>
      <c r="D147" s="7">
        <v>5.2</v>
      </c>
      <c r="E147" s="7">
        <v>48.5</v>
      </c>
      <c r="F147" s="7">
        <v>96.5</v>
      </c>
      <c r="G147" s="7" t="s">
        <v>100</v>
      </c>
      <c r="H147" s="7">
        <v>160</v>
      </c>
      <c r="I147" s="7" t="s">
        <v>449</v>
      </c>
      <c r="J147" s="7">
        <v>160</v>
      </c>
      <c r="K147" s="7" t="s">
        <v>465</v>
      </c>
      <c r="L147" s="7">
        <v>363.36997153160974</v>
      </c>
      <c r="M147" s="7" t="s">
        <v>452</v>
      </c>
      <c r="N147" s="7">
        <v>160</v>
      </c>
      <c r="O147" s="7" t="s">
        <v>465</v>
      </c>
      <c r="P147" s="8">
        <v>363.36997153160974</v>
      </c>
      <c r="V147" s="13">
        <v>48</v>
      </c>
    </row>
    <row r="148" spans="1:22">
      <c r="A148" s="7" t="s">
        <v>484</v>
      </c>
      <c r="B148" s="9" t="s">
        <v>485</v>
      </c>
      <c r="C148" s="7">
        <v>160</v>
      </c>
      <c r="D148" s="7">
        <v>5.2</v>
      </c>
      <c r="E148" s="7">
        <v>48.5</v>
      </c>
      <c r="F148" s="7">
        <v>96.5</v>
      </c>
      <c r="G148" s="7" t="s">
        <v>100</v>
      </c>
      <c r="H148" s="7">
        <v>160</v>
      </c>
      <c r="I148" s="7" t="s">
        <v>468</v>
      </c>
      <c r="J148" s="7">
        <v>160</v>
      </c>
      <c r="K148" s="7" t="s">
        <v>465</v>
      </c>
      <c r="L148" s="7">
        <v>363.36997153160974</v>
      </c>
      <c r="M148" s="7" t="s">
        <v>452</v>
      </c>
      <c r="N148" s="7">
        <v>160</v>
      </c>
      <c r="O148" s="7" t="s">
        <v>465</v>
      </c>
      <c r="P148" s="8">
        <v>363.36997153160974</v>
      </c>
      <c r="V148" s="13">
        <v>48</v>
      </c>
    </row>
    <row r="149" spans="1:22">
      <c r="A149" s="7" t="s">
        <v>486</v>
      </c>
      <c r="B149" s="9" t="s">
        <v>487</v>
      </c>
      <c r="C149" s="7">
        <v>170</v>
      </c>
      <c r="D149" s="7">
        <v>5.2</v>
      </c>
      <c r="E149" s="7">
        <v>48</v>
      </c>
      <c r="F149" s="7">
        <v>96</v>
      </c>
      <c r="G149" s="7" t="s">
        <v>242</v>
      </c>
      <c r="H149" s="7">
        <v>170</v>
      </c>
      <c r="I149" s="7" t="s">
        <v>449</v>
      </c>
      <c r="J149" s="7">
        <v>170</v>
      </c>
      <c r="K149" s="7" t="s">
        <v>465</v>
      </c>
      <c r="L149" s="7">
        <v>357.67940424769745</v>
      </c>
      <c r="M149" s="7" t="s">
        <v>224</v>
      </c>
      <c r="N149" s="7">
        <v>170</v>
      </c>
      <c r="O149" s="7" t="s">
        <v>225</v>
      </c>
      <c r="P149" s="8">
        <v>357.67940424769745</v>
      </c>
      <c r="V149" s="13">
        <v>48</v>
      </c>
    </row>
    <row r="150" spans="1:22">
      <c r="A150" s="7" t="s">
        <v>488</v>
      </c>
      <c r="B150" s="9" t="s">
        <v>489</v>
      </c>
      <c r="C150" s="7">
        <v>160</v>
      </c>
      <c r="D150" s="7">
        <v>5.2</v>
      </c>
      <c r="E150" s="7">
        <v>48.5</v>
      </c>
      <c r="F150" s="7">
        <v>96.5</v>
      </c>
      <c r="G150" s="7" t="s">
        <v>100</v>
      </c>
      <c r="H150" s="7">
        <v>160</v>
      </c>
      <c r="I150" s="7" t="s">
        <v>449</v>
      </c>
      <c r="J150" s="7">
        <v>160</v>
      </c>
      <c r="K150" s="7" t="s">
        <v>465</v>
      </c>
      <c r="L150" s="7">
        <v>363.36997153160974</v>
      </c>
      <c r="M150" s="7" t="s">
        <v>490</v>
      </c>
      <c r="N150" s="7">
        <v>160</v>
      </c>
      <c r="O150" s="7" t="s">
        <v>480</v>
      </c>
      <c r="P150" s="8">
        <v>363.36997153160974</v>
      </c>
      <c r="V150" s="13">
        <v>48</v>
      </c>
    </row>
    <row r="151" spans="1:22">
      <c r="A151" s="7" t="s">
        <v>491</v>
      </c>
      <c r="B151" s="9" t="s">
        <v>492</v>
      </c>
      <c r="C151" s="7">
        <v>160</v>
      </c>
      <c r="D151" s="7">
        <v>5.2</v>
      </c>
      <c r="E151" s="7">
        <v>48.5</v>
      </c>
      <c r="F151" s="7">
        <v>96.5</v>
      </c>
      <c r="G151" s="7" t="s">
        <v>100</v>
      </c>
      <c r="H151" s="7">
        <v>160</v>
      </c>
      <c r="I151" s="7" t="s">
        <v>449</v>
      </c>
      <c r="J151" s="7">
        <v>160</v>
      </c>
      <c r="K151" s="7" t="s">
        <v>465</v>
      </c>
      <c r="L151" s="7">
        <v>363.36997153160974</v>
      </c>
      <c r="M151" s="7" t="s">
        <v>490</v>
      </c>
      <c r="N151" s="7">
        <v>160</v>
      </c>
      <c r="O151" s="7" t="s">
        <v>480</v>
      </c>
      <c r="P151" s="8">
        <v>363.36997153160974</v>
      </c>
      <c r="V151" s="13">
        <v>48</v>
      </c>
    </row>
    <row r="152" spans="1:22">
      <c r="A152" s="7" t="s">
        <v>493</v>
      </c>
      <c r="B152" s="9" t="s">
        <v>494</v>
      </c>
      <c r="C152" s="7">
        <v>160</v>
      </c>
      <c r="D152" s="7">
        <v>5.2</v>
      </c>
      <c r="E152" s="7">
        <v>48.5</v>
      </c>
      <c r="F152" s="7">
        <v>96.5</v>
      </c>
      <c r="G152" s="7" t="s">
        <v>100</v>
      </c>
      <c r="H152" s="7">
        <v>160</v>
      </c>
      <c r="I152" s="7" t="s">
        <v>449</v>
      </c>
      <c r="J152" s="7">
        <v>160</v>
      </c>
      <c r="K152" s="7" t="s">
        <v>465</v>
      </c>
      <c r="L152" s="7">
        <v>363.36997153160974</v>
      </c>
      <c r="M152" s="7" t="s">
        <v>449</v>
      </c>
      <c r="N152" s="7">
        <v>160</v>
      </c>
      <c r="O152" s="7" t="s">
        <v>465</v>
      </c>
      <c r="P152" s="8">
        <v>363.36997153160974</v>
      </c>
      <c r="V152" s="13">
        <v>48</v>
      </c>
    </row>
    <row r="153" spans="1:22">
      <c r="A153" s="7" t="s">
        <v>495</v>
      </c>
      <c r="B153" s="9" t="s">
        <v>496</v>
      </c>
      <c r="C153" s="7">
        <v>160</v>
      </c>
      <c r="D153" s="7">
        <v>5.2</v>
      </c>
      <c r="E153" s="7">
        <v>48.5</v>
      </c>
      <c r="F153" s="7">
        <v>96.5</v>
      </c>
      <c r="G153" s="7" t="s">
        <v>67</v>
      </c>
      <c r="H153" s="7">
        <v>160</v>
      </c>
      <c r="I153" s="7" t="s">
        <v>468</v>
      </c>
      <c r="J153" s="7">
        <v>160</v>
      </c>
      <c r="K153" s="7" t="s">
        <v>465</v>
      </c>
      <c r="L153" s="7">
        <v>363.36997153160974</v>
      </c>
      <c r="M153" s="7" t="s">
        <v>468</v>
      </c>
      <c r="N153" s="7">
        <v>160</v>
      </c>
      <c r="O153" s="7" t="s">
        <v>465</v>
      </c>
      <c r="P153" s="8">
        <v>363.36997153160974</v>
      </c>
      <c r="V153" s="13">
        <v>48</v>
      </c>
    </row>
    <row r="154" spans="1:22">
      <c r="A154" s="7" t="s">
        <v>497</v>
      </c>
      <c r="B154" s="9" t="s">
        <v>498</v>
      </c>
      <c r="C154" s="7">
        <v>160</v>
      </c>
      <c r="D154" s="7">
        <v>5.2</v>
      </c>
      <c r="E154" s="7">
        <v>48.5</v>
      </c>
      <c r="F154" s="7">
        <v>96.5</v>
      </c>
      <c r="G154" s="7" t="s">
        <v>100</v>
      </c>
      <c r="H154" s="7">
        <v>160</v>
      </c>
      <c r="I154" s="7" t="s">
        <v>499</v>
      </c>
      <c r="J154" s="7">
        <v>160</v>
      </c>
      <c r="K154" s="7" t="s">
        <v>465</v>
      </c>
      <c r="L154" s="7">
        <v>363.36997153160974</v>
      </c>
      <c r="M154" s="7" t="s">
        <v>452</v>
      </c>
      <c r="N154" s="7">
        <v>160</v>
      </c>
      <c r="O154" s="7" t="s">
        <v>465</v>
      </c>
      <c r="P154" s="8">
        <v>363.36997153160974</v>
      </c>
      <c r="V154" s="13">
        <v>48</v>
      </c>
    </row>
    <row r="155" spans="1:22">
      <c r="A155" s="7" t="s">
        <v>500</v>
      </c>
      <c r="B155" s="9" t="s">
        <v>501</v>
      </c>
      <c r="C155" s="7">
        <v>160</v>
      </c>
      <c r="D155" s="7">
        <v>5.2</v>
      </c>
      <c r="E155" s="7">
        <v>48.5</v>
      </c>
      <c r="F155" s="7">
        <v>96.5</v>
      </c>
      <c r="G155" s="7" t="s">
        <v>100</v>
      </c>
      <c r="H155" s="7">
        <v>160</v>
      </c>
      <c r="I155" s="7" t="s">
        <v>499</v>
      </c>
      <c r="J155" s="7">
        <v>160</v>
      </c>
      <c r="K155" s="7" t="s">
        <v>465</v>
      </c>
      <c r="L155" s="7">
        <v>363.36997153160974</v>
      </c>
      <c r="M155" s="7" t="s">
        <v>502</v>
      </c>
      <c r="N155" s="7">
        <v>160</v>
      </c>
      <c r="O155" s="7" t="s">
        <v>465</v>
      </c>
      <c r="P155" s="8">
        <v>363.36997153160974</v>
      </c>
      <c r="V155" s="13">
        <v>48</v>
      </c>
    </row>
    <row r="156" spans="1:22">
      <c r="A156" s="7" t="s">
        <v>503</v>
      </c>
      <c r="B156" s="9" t="s">
        <v>504</v>
      </c>
      <c r="C156" s="7">
        <v>120</v>
      </c>
      <c r="D156" s="7">
        <v>5.2</v>
      </c>
      <c r="E156" s="7">
        <v>48.5</v>
      </c>
      <c r="F156" s="7">
        <v>96.5</v>
      </c>
      <c r="G156" s="7" t="s">
        <v>100</v>
      </c>
      <c r="H156" s="7">
        <v>120</v>
      </c>
      <c r="I156" s="7" t="s">
        <v>499</v>
      </c>
      <c r="J156" s="7">
        <v>120</v>
      </c>
      <c r="K156" s="7" t="s">
        <v>465</v>
      </c>
      <c r="L156" s="7">
        <v>363.36997153160974</v>
      </c>
      <c r="M156" s="7" t="s">
        <v>452</v>
      </c>
      <c r="N156" s="7">
        <v>120</v>
      </c>
      <c r="O156" s="7" t="s">
        <v>465</v>
      </c>
      <c r="P156" s="8">
        <v>363.36997153160974</v>
      </c>
      <c r="V156" s="13">
        <v>48</v>
      </c>
    </row>
    <row r="157" spans="1:22">
      <c r="A157" s="7" t="s">
        <v>505</v>
      </c>
      <c r="B157" s="9" t="s">
        <v>506</v>
      </c>
      <c r="C157" s="7">
        <v>110</v>
      </c>
      <c r="D157" s="7">
        <v>6</v>
      </c>
      <c r="E157" s="7">
        <v>48.5</v>
      </c>
      <c r="F157" s="7">
        <v>96.5</v>
      </c>
      <c r="G157" s="7" t="s">
        <v>290</v>
      </c>
      <c r="H157" s="7">
        <v>110</v>
      </c>
      <c r="I157" s="7" t="s">
        <v>449</v>
      </c>
      <c r="J157" s="7">
        <v>110</v>
      </c>
      <c r="K157" s="7" t="s">
        <v>465</v>
      </c>
      <c r="L157" s="7">
        <v>363.36997153160974</v>
      </c>
      <c r="M157" s="7" t="s">
        <v>502</v>
      </c>
      <c r="N157" s="7">
        <v>110</v>
      </c>
      <c r="O157" s="7" t="s">
        <v>465</v>
      </c>
      <c r="P157" s="8">
        <v>363.36997153160974</v>
      </c>
      <c r="V157" s="13">
        <v>48</v>
      </c>
    </row>
    <row r="158" spans="1:22">
      <c r="A158" s="7" t="s">
        <v>507</v>
      </c>
      <c r="B158" s="9" t="s">
        <v>508</v>
      </c>
      <c r="C158" s="7">
        <v>100</v>
      </c>
      <c r="D158" s="7">
        <v>9.5</v>
      </c>
      <c r="E158" s="7">
        <v>48.5</v>
      </c>
      <c r="F158" s="7">
        <v>96.5</v>
      </c>
      <c r="G158" s="7" t="s">
        <v>193</v>
      </c>
      <c r="H158" s="7">
        <v>100</v>
      </c>
      <c r="I158" s="7" t="s">
        <v>509</v>
      </c>
      <c r="J158" s="7">
        <v>100</v>
      </c>
      <c r="K158" s="7" t="s">
        <v>480</v>
      </c>
      <c r="L158" s="7">
        <v>363.36997153160974</v>
      </c>
      <c r="M158" s="7" t="s">
        <v>481</v>
      </c>
      <c r="N158" s="7">
        <v>100</v>
      </c>
      <c r="O158" s="7" t="s">
        <v>480</v>
      </c>
      <c r="P158" s="8">
        <v>363.36997153160974</v>
      </c>
      <c r="V158" s="13">
        <v>48</v>
      </c>
    </row>
    <row r="159" spans="1:22">
      <c r="A159" s="7" t="s">
        <v>510</v>
      </c>
      <c r="B159" s="9" t="s">
        <v>511</v>
      </c>
      <c r="C159" s="7">
        <v>62</v>
      </c>
      <c r="D159" s="7">
        <v>15.7</v>
      </c>
      <c r="E159" s="7">
        <v>48.5</v>
      </c>
      <c r="F159" s="7">
        <v>96.5</v>
      </c>
      <c r="G159" s="7" t="s">
        <v>54</v>
      </c>
      <c r="H159" s="7">
        <v>62</v>
      </c>
      <c r="I159" s="7" t="s">
        <v>468</v>
      </c>
      <c r="J159" s="7">
        <v>62</v>
      </c>
      <c r="K159" s="7" t="s">
        <v>465</v>
      </c>
      <c r="L159" s="7">
        <v>363.36997153160974</v>
      </c>
      <c r="M159" s="7" t="s">
        <v>452</v>
      </c>
      <c r="N159" s="7">
        <v>62</v>
      </c>
      <c r="O159" s="7" t="s">
        <v>465</v>
      </c>
      <c r="P159" s="8">
        <v>363.36997153160974</v>
      </c>
      <c r="V159" s="13">
        <v>48</v>
      </c>
    </row>
    <row r="160" spans="1:22">
      <c r="A160" s="7" t="s">
        <v>512</v>
      </c>
      <c r="B160" s="9" t="s">
        <v>513</v>
      </c>
      <c r="C160" s="7">
        <v>50</v>
      </c>
      <c r="D160" s="7">
        <v>19</v>
      </c>
      <c r="E160" s="7">
        <v>48.5</v>
      </c>
      <c r="F160" s="7">
        <v>96.5</v>
      </c>
      <c r="G160" s="7" t="s">
        <v>202</v>
      </c>
      <c r="H160" s="7">
        <v>50</v>
      </c>
      <c r="I160" s="7" t="s">
        <v>514</v>
      </c>
      <c r="J160" s="7">
        <v>50</v>
      </c>
      <c r="K160" s="7" t="s">
        <v>480</v>
      </c>
      <c r="L160" s="7">
        <v>363.36997153160974</v>
      </c>
      <c r="M160" s="7" t="s">
        <v>515</v>
      </c>
      <c r="N160" s="7">
        <v>50</v>
      </c>
      <c r="O160" s="7" t="s">
        <v>480</v>
      </c>
      <c r="P160" s="8">
        <v>363.36997153160974</v>
      </c>
      <c r="V160" s="13">
        <v>48</v>
      </c>
    </row>
    <row r="161" spans="1:22">
      <c r="A161" s="7" t="s">
        <v>516</v>
      </c>
      <c r="B161" s="9" t="s">
        <v>517</v>
      </c>
      <c r="C161" s="7">
        <v>50</v>
      </c>
      <c r="D161" s="7">
        <v>19</v>
      </c>
      <c r="E161" s="7">
        <v>48.5</v>
      </c>
      <c r="F161" s="7">
        <v>96.5</v>
      </c>
      <c r="G161" s="7" t="s">
        <v>202</v>
      </c>
      <c r="H161" s="7">
        <v>50</v>
      </c>
      <c r="I161" s="7" t="s">
        <v>461</v>
      </c>
      <c r="J161" s="7">
        <v>50</v>
      </c>
      <c r="K161" s="7" t="s">
        <v>465</v>
      </c>
      <c r="L161" s="7">
        <v>363.36997153160974</v>
      </c>
      <c r="M161" s="7" t="s">
        <v>518</v>
      </c>
      <c r="N161" s="7">
        <v>50</v>
      </c>
      <c r="O161" s="7" t="s">
        <v>480</v>
      </c>
      <c r="P161" s="8">
        <v>363.36997153160974</v>
      </c>
      <c r="V161" s="13">
        <v>48</v>
      </c>
    </row>
    <row r="162" spans="1:22">
      <c r="A162" s="7" t="s">
        <v>519</v>
      </c>
      <c r="B162" s="9" t="s">
        <v>520</v>
      </c>
      <c r="C162" s="7">
        <v>46</v>
      </c>
      <c r="D162" s="7">
        <v>19</v>
      </c>
      <c r="E162" s="7">
        <v>48.5</v>
      </c>
      <c r="F162" s="7">
        <v>120.5</v>
      </c>
      <c r="G162" s="7" t="s">
        <v>197</v>
      </c>
      <c r="H162" s="7">
        <v>46</v>
      </c>
      <c r="I162" s="7" t="s">
        <v>521</v>
      </c>
      <c r="J162" s="7">
        <v>46</v>
      </c>
      <c r="K162" s="7" t="s">
        <v>480</v>
      </c>
      <c r="L162" s="7">
        <v>453.14372920412512</v>
      </c>
      <c r="M162" s="7" t="s">
        <v>522</v>
      </c>
      <c r="N162" s="7">
        <v>46</v>
      </c>
      <c r="O162" s="7" t="s">
        <v>480</v>
      </c>
      <c r="P162" s="8">
        <v>453.14372920412512</v>
      </c>
      <c r="V162" s="13">
        <v>48</v>
      </c>
    </row>
    <row r="163" spans="1:22">
      <c r="A163" s="7" t="s">
        <v>523</v>
      </c>
      <c r="B163" s="9" t="s">
        <v>524</v>
      </c>
      <c r="C163" s="7">
        <v>42</v>
      </c>
      <c r="D163" s="7">
        <v>19</v>
      </c>
      <c r="E163" s="7">
        <v>48.5</v>
      </c>
      <c r="F163" s="7">
        <v>120.5</v>
      </c>
      <c r="G163" s="7" t="s">
        <v>197</v>
      </c>
      <c r="H163" s="7">
        <v>42</v>
      </c>
      <c r="I163" s="7" t="s">
        <v>525</v>
      </c>
      <c r="J163" s="7">
        <v>42</v>
      </c>
      <c r="K163" s="7" t="s">
        <v>480</v>
      </c>
      <c r="L163" s="7">
        <v>453.14372920412512</v>
      </c>
      <c r="M163" s="7" t="s">
        <v>526</v>
      </c>
      <c r="N163" s="7">
        <v>42</v>
      </c>
      <c r="O163" s="7" t="s">
        <v>480</v>
      </c>
      <c r="P163" s="8">
        <v>453.14372920412512</v>
      </c>
      <c r="V163" s="13">
        <v>48</v>
      </c>
    </row>
    <row r="164" spans="1:22">
      <c r="A164" s="7" t="s">
        <v>527</v>
      </c>
      <c r="B164" s="9" t="s">
        <v>528</v>
      </c>
      <c r="C164" s="7">
        <v>180</v>
      </c>
      <c r="D164" s="7">
        <v>5.2</v>
      </c>
      <c r="E164" s="7">
        <v>48.5</v>
      </c>
      <c r="F164" s="7">
        <v>96.5</v>
      </c>
      <c r="G164" s="7" t="s">
        <v>295</v>
      </c>
      <c r="H164" s="7">
        <v>180</v>
      </c>
      <c r="I164" s="7" t="s">
        <v>449</v>
      </c>
      <c r="J164" s="7">
        <v>180</v>
      </c>
      <c r="K164" s="7" t="s">
        <v>529</v>
      </c>
      <c r="L164" s="7">
        <v>363.36997153160974</v>
      </c>
      <c r="M164" s="7" t="s">
        <v>452</v>
      </c>
      <c r="N164" s="7">
        <v>180</v>
      </c>
      <c r="O164" s="7" t="s">
        <v>529</v>
      </c>
      <c r="P164" s="8">
        <v>363.36997153160974</v>
      </c>
      <c r="V164" s="13">
        <v>48</v>
      </c>
    </row>
    <row r="165" spans="1:22">
      <c r="A165" s="7" t="s">
        <v>530</v>
      </c>
      <c r="B165" s="9" t="s">
        <v>531</v>
      </c>
      <c r="C165" s="7">
        <v>75</v>
      </c>
      <c r="D165" s="7">
        <v>12</v>
      </c>
      <c r="E165" s="7">
        <v>48.5</v>
      </c>
      <c r="F165" s="7">
        <v>96.5</v>
      </c>
      <c r="G165" s="7" t="s">
        <v>395</v>
      </c>
      <c r="H165" s="7">
        <v>75</v>
      </c>
      <c r="I165" s="7" t="s">
        <v>499</v>
      </c>
      <c r="J165" s="7">
        <v>75</v>
      </c>
      <c r="K165" s="7" t="s">
        <v>529</v>
      </c>
      <c r="L165" s="7">
        <v>363.36997153160974</v>
      </c>
      <c r="M165" s="7" t="s">
        <v>452</v>
      </c>
      <c r="N165" s="7">
        <v>75</v>
      </c>
      <c r="O165" s="7" t="s">
        <v>529</v>
      </c>
      <c r="P165" s="8">
        <v>363.36997153160974</v>
      </c>
      <c r="V165" s="13">
        <v>48</v>
      </c>
    </row>
    <row r="166" spans="1:22">
      <c r="A166" s="7" t="s">
        <v>532</v>
      </c>
      <c r="B166" s="9" t="s">
        <v>533</v>
      </c>
      <c r="C166" s="7">
        <v>75</v>
      </c>
      <c r="D166" s="7">
        <v>12</v>
      </c>
      <c r="E166" s="7">
        <v>48.5</v>
      </c>
      <c r="F166" s="7">
        <v>96.5</v>
      </c>
      <c r="G166" s="7" t="s">
        <v>395</v>
      </c>
      <c r="H166" s="7">
        <v>75</v>
      </c>
      <c r="I166" s="7" t="s">
        <v>534</v>
      </c>
      <c r="J166" s="7">
        <v>75</v>
      </c>
      <c r="K166" s="7" t="s">
        <v>529</v>
      </c>
      <c r="L166" s="7">
        <v>363.36997153160974</v>
      </c>
      <c r="M166" s="7" t="s">
        <v>441</v>
      </c>
      <c r="N166" s="7">
        <v>75</v>
      </c>
      <c r="O166" s="7" t="s">
        <v>529</v>
      </c>
      <c r="P166" s="8">
        <v>363.36997153160974</v>
      </c>
      <c r="V166" s="13">
        <v>48</v>
      </c>
    </row>
    <row r="167" spans="1:22">
      <c r="A167" s="7" t="s">
        <v>535</v>
      </c>
      <c r="B167" s="9" t="s">
        <v>536</v>
      </c>
      <c r="C167" s="7">
        <v>75</v>
      </c>
      <c r="D167" s="7">
        <v>12</v>
      </c>
      <c r="E167" s="7">
        <v>48.5</v>
      </c>
      <c r="F167" s="7">
        <v>96.5</v>
      </c>
      <c r="G167" s="7" t="s">
        <v>395</v>
      </c>
      <c r="H167" s="7">
        <v>75</v>
      </c>
      <c r="I167" s="7" t="s">
        <v>499</v>
      </c>
      <c r="J167" s="7">
        <v>75</v>
      </c>
      <c r="K167" s="7" t="s">
        <v>529</v>
      </c>
      <c r="L167" s="7">
        <v>363.36997153160974</v>
      </c>
      <c r="M167" s="7" t="s">
        <v>452</v>
      </c>
      <c r="N167" s="7">
        <v>75</v>
      </c>
      <c r="O167" s="7" t="s">
        <v>529</v>
      </c>
      <c r="P167" s="8">
        <v>363.36997153160974</v>
      </c>
      <c r="V167" s="13">
        <v>48</v>
      </c>
    </row>
    <row r="168" spans="1:22">
      <c r="A168" s="7" t="s">
        <v>537</v>
      </c>
      <c r="B168" s="9" t="s">
        <v>538</v>
      </c>
      <c r="C168" s="7">
        <v>75</v>
      </c>
      <c r="D168" s="7">
        <v>12</v>
      </c>
      <c r="E168" s="7">
        <v>48.5</v>
      </c>
      <c r="F168" s="7">
        <v>96.5</v>
      </c>
      <c r="G168" s="7" t="s">
        <v>395</v>
      </c>
      <c r="H168" s="7">
        <v>75</v>
      </c>
      <c r="I168" s="7" t="s">
        <v>449</v>
      </c>
      <c r="J168" s="7">
        <v>75</v>
      </c>
      <c r="K168" s="7" t="s">
        <v>529</v>
      </c>
      <c r="L168" s="7">
        <v>363.36997153160974</v>
      </c>
      <c r="M168" s="7" t="s">
        <v>452</v>
      </c>
      <c r="N168" s="7">
        <v>75</v>
      </c>
      <c r="O168" s="7" t="s">
        <v>529</v>
      </c>
      <c r="P168" s="8">
        <v>363.36997153160974</v>
      </c>
      <c r="V168" s="13">
        <v>48</v>
      </c>
    </row>
    <row r="169" spans="1:22">
      <c r="A169" s="7" t="s">
        <v>539</v>
      </c>
      <c r="B169" s="9" t="s">
        <v>540</v>
      </c>
      <c r="C169" s="7">
        <v>50</v>
      </c>
      <c r="D169" s="7">
        <v>18</v>
      </c>
      <c r="E169" s="7">
        <v>48.5</v>
      </c>
      <c r="F169" s="7">
        <v>96.5</v>
      </c>
      <c r="G169" s="7" t="s">
        <v>205</v>
      </c>
      <c r="H169" s="7">
        <v>50</v>
      </c>
      <c r="I169" s="7" t="s">
        <v>499</v>
      </c>
      <c r="J169" s="7">
        <v>50</v>
      </c>
      <c r="K169" s="7" t="s">
        <v>529</v>
      </c>
      <c r="L169" s="7">
        <v>363.36997153160974</v>
      </c>
      <c r="M169" s="7" t="s">
        <v>452</v>
      </c>
      <c r="N169" s="7">
        <v>50</v>
      </c>
      <c r="O169" s="7" t="s">
        <v>529</v>
      </c>
      <c r="P169" s="8">
        <v>363.36997153160974</v>
      </c>
      <c r="V169" s="13">
        <v>48</v>
      </c>
    </row>
    <row r="170" spans="1:22">
      <c r="A170" s="7" t="s">
        <v>541</v>
      </c>
      <c r="B170" s="9" t="s">
        <v>542</v>
      </c>
      <c r="C170" s="7">
        <v>50</v>
      </c>
      <c r="D170" s="7">
        <v>18</v>
      </c>
      <c r="E170" s="7">
        <v>48.5</v>
      </c>
      <c r="F170" s="7">
        <v>96.5</v>
      </c>
      <c r="G170" s="7" t="s">
        <v>205</v>
      </c>
      <c r="H170" s="7">
        <v>50</v>
      </c>
      <c r="I170" s="7" t="s">
        <v>499</v>
      </c>
      <c r="J170" s="7">
        <v>50</v>
      </c>
      <c r="K170" s="7" t="s">
        <v>529</v>
      </c>
      <c r="L170" s="7">
        <v>363.36997153160974</v>
      </c>
      <c r="M170" s="7" t="s">
        <v>452</v>
      </c>
      <c r="N170" s="7">
        <v>50</v>
      </c>
      <c r="O170" s="7" t="s">
        <v>529</v>
      </c>
      <c r="P170" s="8">
        <v>363.36997153160974</v>
      </c>
      <c r="V170" s="13">
        <v>48</v>
      </c>
    </row>
    <row r="171" spans="1:22">
      <c r="A171" s="7" t="s">
        <v>543</v>
      </c>
      <c r="B171" s="9" t="s">
        <v>544</v>
      </c>
      <c r="C171" s="7">
        <v>50</v>
      </c>
      <c r="D171" s="7">
        <v>19</v>
      </c>
      <c r="E171" s="7">
        <v>48.5</v>
      </c>
      <c r="F171" s="7">
        <v>96.5</v>
      </c>
      <c r="G171" s="7" t="s">
        <v>353</v>
      </c>
      <c r="H171" s="7">
        <v>50</v>
      </c>
      <c r="I171" s="7" t="s">
        <v>499</v>
      </c>
      <c r="J171" s="7">
        <v>50</v>
      </c>
      <c r="K171" s="7" t="s">
        <v>440</v>
      </c>
      <c r="L171" s="7">
        <v>363.36997153160974</v>
      </c>
      <c r="M171" s="7" t="s">
        <v>452</v>
      </c>
      <c r="N171" s="7">
        <v>50</v>
      </c>
      <c r="O171" s="7" t="s">
        <v>440</v>
      </c>
      <c r="P171" s="8">
        <v>363.36997153160974</v>
      </c>
      <c r="V171" s="13">
        <v>48</v>
      </c>
    </row>
    <row r="172" spans="1:22">
      <c r="A172" s="7" t="s">
        <v>545</v>
      </c>
      <c r="B172" s="9" t="s">
        <v>546</v>
      </c>
      <c r="C172" s="7">
        <v>50</v>
      </c>
      <c r="D172" s="7">
        <v>19</v>
      </c>
      <c r="E172" s="7">
        <v>48.5</v>
      </c>
      <c r="F172" s="7">
        <v>96.5</v>
      </c>
      <c r="G172" s="7" t="s">
        <v>134</v>
      </c>
      <c r="H172" s="7">
        <v>50</v>
      </c>
      <c r="I172" s="7" t="s">
        <v>547</v>
      </c>
      <c r="J172" s="7">
        <v>50</v>
      </c>
      <c r="K172" s="7" t="s">
        <v>529</v>
      </c>
      <c r="L172" s="7">
        <v>363.36997153160974</v>
      </c>
      <c r="M172" s="7" t="s">
        <v>547</v>
      </c>
      <c r="N172" s="7">
        <v>50</v>
      </c>
      <c r="O172" s="7" t="s">
        <v>529</v>
      </c>
      <c r="P172" s="8">
        <v>363.36997153160974</v>
      </c>
      <c r="V172" s="13">
        <v>48</v>
      </c>
    </row>
    <row r="173" spans="1:22">
      <c r="A173" s="7" t="s">
        <v>548</v>
      </c>
      <c r="B173" s="9" t="s">
        <v>549</v>
      </c>
      <c r="C173" s="7">
        <v>50</v>
      </c>
      <c r="D173" s="7">
        <v>19</v>
      </c>
      <c r="E173" s="7">
        <v>48.5</v>
      </c>
      <c r="F173" s="7">
        <v>96.5</v>
      </c>
      <c r="G173" s="7" t="s">
        <v>134</v>
      </c>
      <c r="H173" s="7">
        <v>50</v>
      </c>
      <c r="I173" s="7" t="s">
        <v>499</v>
      </c>
      <c r="J173" s="7">
        <v>50</v>
      </c>
      <c r="K173" s="7" t="s">
        <v>529</v>
      </c>
      <c r="L173" s="7">
        <v>363.36997153160974</v>
      </c>
      <c r="M173" s="7" t="s">
        <v>452</v>
      </c>
      <c r="N173" s="7">
        <v>50</v>
      </c>
      <c r="O173" s="7" t="s">
        <v>529</v>
      </c>
      <c r="P173" s="8">
        <v>363.36997153160974</v>
      </c>
      <c r="V173" s="13">
        <v>48</v>
      </c>
    </row>
    <row r="174" spans="1:22">
      <c r="A174" s="7" t="s">
        <v>550</v>
      </c>
      <c r="B174" s="9" t="s">
        <v>551</v>
      </c>
      <c r="C174" s="7">
        <v>50</v>
      </c>
      <c r="D174" s="7">
        <v>19</v>
      </c>
      <c r="E174" s="7">
        <v>48.5</v>
      </c>
      <c r="F174" s="7">
        <v>96.5</v>
      </c>
      <c r="G174" s="7" t="s">
        <v>134</v>
      </c>
      <c r="H174" s="7">
        <v>50</v>
      </c>
      <c r="I174" s="7" t="s">
        <v>449</v>
      </c>
      <c r="J174" s="7">
        <v>50</v>
      </c>
      <c r="K174" s="7" t="s">
        <v>529</v>
      </c>
      <c r="L174" s="7">
        <v>363.36997153160974</v>
      </c>
      <c r="M174" s="7" t="s">
        <v>452</v>
      </c>
      <c r="N174" s="7">
        <v>50</v>
      </c>
      <c r="O174" s="7" t="s">
        <v>529</v>
      </c>
      <c r="P174" s="8">
        <v>363.36997153160974</v>
      </c>
      <c r="V174" s="13">
        <v>48</v>
      </c>
    </row>
    <row r="175" spans="1:22">
      <c r="A175" s="7" t="s">
        <v>552</v>
      </c>
      <c r="B175" s="9" t="s">
        <v>553</v>
      </c>
      <c r="C175" s="7">
        <v>50</v>
      </c>
      <c r="D175" s="7">
        <v>19</v>
      </c>
      <c r="E175" s="7">
        <v>49</v>
      </c>
      <c r="F175" s="7">
        <v>97</v>
      </c>
      <c r="G175" s="7" t="s">
        <v>62</v>
      </c>
      <c r="H175" s="7">
        <v>50</v>
      </c>
      <c r="I175" s="7" t="s">
        <v>554</v>
      </c>
      <c r="J175" s="7">
        <v>50</v>
      </c>
      <c r="K175" s="7" t="s">
        <v>56</v>
      </c>
      <c r="L175" s="7">
        <v>361.17655568644466</v>
      </c>
      <c r="M175" s="7" t="s">
        <v>555</v>
      </c>
      <c r="N175" s="7">
        <v>50</v>
      </c>
      <c r="O175" s="7" t="s">
        <v>56</v>
      </c>
      <c r="P175" s="8">
        <v>361.17655568644466</v>
      </c>
      <c r="V175" s="13">
        <v>48</v>
      </c>
    </row>
    <row r="176" spans="1:22">
      <c r="A176" s="7" t="s">
        <v>556</v>
      </c>
      <c r="B176" s="9" t="s">
        <v>557</v>
      </c>
      <c r="C176" s="7">
        <v>50</v>
      </c>
      <c r="D176" s="7">
        <v>19</v>
      </c>
      <c r="E176" s="7">
        <v>48.5</v>
      </c>
      <c r="F176" s="7">
        <v>120.5</v>
      </c>
      <c r="G176" s="7" t="s">
        <v>444</v>
      </c>
      <c r="H176" s="7">
        <v>50</v>
      </c>
      <c r="I176" s="7" t="s">
        <v>558</v>
      </c>
      <c r="J176" s="7">
        <v>50</v>
      </c>
      <c r="K176" s="7" t="s">
        <v>56</v>
      </c>
      <c r="L176" s="7">
        <v>449.41521827488089</v>
      </c>
      <c r="M176" s="7" t="s">
        <v>559</v>
      </c>
      <c r="N176" s="7">
        <v>50</v>
      </c>
      <c r="O176" s="7" t="s">
        <v>56</v>
      </c>
      <c r="P176" s="8">
        <v>449.41521827488089</v>
      </c>
      <c r="V176" s="13">
        <v>48</v>
      </c>
    </row>
    <row r="177" spans="1:22">
      <c r="A177" s="7" t="s">
        <v>560</v>
      </c>
      <c r="B177" s="9" t="s">
        <v>561</v>
      </c>
      <c r="C177" s="7">
        <v>260</v>
      </c>
      <c r="D177" s="7">
        <v>3</v>
      </c>
      <c r="E177" s="7">
        <v>48.5</v>
      </c>
      <c r="F177" s="7">
        <v>96.5</v>
      </c>
      <c r="G177" s="7" t="s">
        <v>367</v>
      </c>
      <c r="H177" s="7">
        <v>260</v>
      </c>
      <c r="I177" s="7" t="s">
        <v>562</v>
      </c>
      <c r="J177" s="7">
        <v>936</v>
      </c>
      <c r="K177" s="7" t="s">
        <v>244</v>
      </c>
      <c r="L177" s="7">
        <v>330.33633775600885</v>
      </c>
      <c r="M177" s="7" t="s">
        <v>563</v>
      </c>
      <c r="N177" s="7">
        <v>936</v>
      </c>
      <c r="O177" s="7" t="s">
        <v>244</v>
      </c>
      <c r="P177" s="8">
        <v>330.33633775600885</v>
      </c>
      <c r="V177" s="13">
        <v>48</v>
      </c>
    </row>
    <row r="178" spans="1:22">
      <c r="A178" s="7" t="s">
        <v>564</v>
      </c>
      <c r="B178" s="9" t="s">
        <v>565</v>
      </c>
      <c r="C178" s="7">
        <v>260</v>
      </c>
      <c r="D178" s="7">
        <v>3</v>
      </c>
      <c r="E178" s="7">
        <v>48.5</v>
      </c>
      <c r="F178" s="7">
        <v>96.5</v>
      </c>
      <c r="G178" s="7" t="s">
        <v>367</v>
      </c>
      <c r="H178" s="7">
        <v>260</v>
      </c>
      <c r="I178" s="7" t="s">
        <v>566</v>
      </c>
      <c r="J178" s="7">
        <v>936</v>
      </c>
      <c r="K178" s="7" t="s">
        <v>244</v>
      </c>
      <c r="L178" s="7">
        <v>330.33633775600885</v>
      </c>
      <c r="M178" s="7" t="s">
        <v>567</v>
      </c>
      <c r="N178" s="7">
        <v>936</v>
      </c>
      <c r="O178" s="7" t="s">
        <v>244</v>
      </c>
      <c r="P178" s="8">
        <v>330.33633775600885</v>
      </c>
      <c r="V178" s="13">
        <v>48</v>
      </c>
    </row>
    <row r="179" spans="1:22">
      <c r="A179" s="7" t="s">
        <v>568</v>
      </c>
      <c r="B179" s="9" t="s">
        <v>569</v>
      </c>
      <c r="C179" s="7">
        <v>160</v>
      </c>
      <c r="D179" s="7">
        <v>5.2</v>
      </c>
      <c r="E179" s="7">
        <v>48.5</v>
      </c>
      <c r="F179" s="7">
        <v>96.5</v>
      </c>
      <c r="G179" s="7" t="s">
        <v>67</v>
      </c>
      <c r="H179" s="7">
        <v>160</v>
      </c>
      <c r="I179" s="7" t="s">
        <v>554</v>
      </c>
      <c r="J179" s="7">
        <v>160</v>
      </c>
      <c r="K179" s="7" t="s">
        <v>56</v>
      </c>
      <c r="L179" s="7">
        <v>363.36997153160974</v>
      </c>
      <c r="M179" s="7" t="s">
        <v>555</v>
      </c>
      <c r="N179" s="7">
        <v>160</v>
      </c>
      <c r="O179" s="7" t="s">
        <v>56</v>
      </c>
      <c r="P179" s="8">
        <v>363.36997153160974</v>
      </c>
      <c r="V179" s="13">
        <v>48</v>
      </c>
    </row>
    <row r="180" spans="1:22">
      <c r="A180" s="7" t="s">
        <v>570</v>
      </c>
      <c r="B180" s="9" t="s">
        <v>571</v>
      </c>
      <c r="C180" s="7">
        <v>160</v>
      </c>
      <c r="D180" s="7">
        <v>5.2</v>
      </c>
      <c r="E180" s="7">
        <v>48.5</v>
      </c>
      <c r="F180" s="7">
        <v>96.5</v>
      </c>
      <c r="G180" s="7" t="s">
        <v>67</v>
      </c>
      <c r="H180" s="7">
        <v>160</v>
      </c>
      <c r="I180" s="7" t="s">
        <v>572</v>
      </c>
      <c r="J180" s="7">
        <v>160</v>
      </c>
      <c r="K180" s="7" t="s">
        <v>56</v>
      </c>
      <c r="L180" s="7">
        <v>363.36997153160974</v>
      </c>
      <c r="M180" s="7" t="s">
        <v>555</v>
      </c>
      <c r="N180" s="7">
        <v>160</v>
      </c>
      <c r="O180" s="7" t="s">
        <v>56</v>
      </c>
      <c r="P180" s="8">
        <v>363.36997153160974</v>
      </c>
      <c r="V180" s="13">
        <v>48</v>
      </c>
    </row>
    <row r="181" spans="1:22">
      <c r="A181" s="7" t="s">
        <v>573</v>
      </c>
      <c r="B181" s="9" t="s">
        <v>574</v>
      </c>
      <c r="C181" s="7">
        <v>160</v>
      </c>
      <c r="D181" s="7">
        <v>5.2</v>
      </c>
      <c r="E181" s="7">
        <v>48.5</v>
      </c>
      <c r="F181" s="7">
        <v>96.5</v>
      </c>
      <c r="G181" s="7" t="s">
        <v>67</v>
      </c>
      <c r="H181" s="7">
        <v>160</v>
      </c>
      <c r="I181" s="7" t="s">
        <v>575</v>
      </c>
      <c r="J181" s="7">
        <v>160</v>
      </c>
      <c r="K181" s="7" t="s">
        <v>56</v>
      </c>
      <c r="L181" s="7">
        <v>363.36997153160974</v>
      </c>
      <c r="M181" s="7" t="s">
        <v>576</v>
      </c>
      <c r="N181" s="7">
        <v>160</v>
      </c>
      <c r="O181" s="7" t="s">
        <v>56</v>
      </c>
      <c r="P181" s="8">
        <v>363.36997153160974</v>
      </c>
      <c r="V181" s="13">
        <v>48</v>
      </c>
    </row>
    <row r="182" spans="1:22">
      <c r="A182" s="7" t="s">
        <v>577</v>
      </c>
      <c r="B182" s="9" t="s">
        <v>578</v>
      </c>
      <c r="C182" s="7">
        <v>160</v>
      </c>
      <c r="D182" s="7">
        <v>5.2</v>
      </c>
      <c r="E182" s="7">
        <v>48.5</v>
      </c>
      <c r="F182" s="7">
        <v>96.5</v>
      </c>
      <c r="G182" s="7" t="s">
        <v>67</v>
      </c>
      <c r="H182" s="7">
        <v>160</v>
      </c>
      <c r="I182" s="7" t="s">
        <v>579</v>
      </c>
      <c r="J182" s="7">
        <v>160</v>
      </c>
      <c r="K182" s="7" t="s">
        <v>56</v>
      </c>
      <c r="L182" s="7">
        <v>363.36997153160974</v>
      </c>
      <c r="M182" s="7" t="s">
        <v>580</v>
      </c>
      <c r="N182" s="7">
        <v>160</v>
      </c>
      <c r="O182" s="7" t="s">
        <v>56</v>
      </c>
      <c r="P182" s="8">
        <v>363.36997153160974</v>
      </c>
      <c r="V182" s="13">
        <v>48</v>
      </c>
    </row>
    <row r="183" spans="1:22">
      <c r="A183" s="7" t="s">
        <v>581</v>
      </c>
      <c r="B183" s="9" t="s">
        <v>582</v>
      </c>
      <c r="C183" s="7">
        <v>160</v>
      </c>
      <c r="D183" s="7">
        <v>5.2</v>
      </c>
      <c r="E183" s="7">
        <v>48.5</v>
      </c>
      <c r="F183" s="7">
        <v>96.5</v>
      </c>
      <c r="G183" s="7" t="s">
        <v>67</v>
      </c>
      <c r="H183" s="7">
        <v>160</v>
      </c>
      <c r="I183" s="7" t="s">
        <v>554</v>
      </c>
      <c r="J183" s="7">
        <v>160</v>
      </c>
      <c r="K183" s="7" t="s">
        <v>56</v>
      </c>
      <c r="L183" s="7">
        <v>363.36997153160974</v>
      </c>
      <c r="M183" s="7" t="s">
        <v>555</v>
      </c>
      <c r="N183" s="7">
        <v>160</v>
      </c>
      <c r="O183" s="7" t="s">
        <v>56</v>
      </c>
      <c r="P183" s="8">
        <v>363.36997153160974</v>
      </c>
      <c r="V183" s="13">
        <v>48</v>
      </c>
    </row>
    <row r="184" spans="1:22">
      <c r="A184" s="7" t="s">
        <v>583</v>
      </c>
      <c r="B184" s="9" t="s">
        <v>584</v>
      </c>
      <c r="C184" s="7">
        <v>160</v>
      </c>
      <c r="D184" s="7">
        <v>5.2</v>
      </c>
      <c r="E184" s="7">
        <v>48.5</v>
      </c>
      <c r="F184" s="7">
        <v>96.5</v>
      </c>
      <c r="G184" s="7" t="s">
        <v>100</v>
      </c>
      <c r="H184" s="7">
        <v>160</v>
      </c>
      <c r="I184" s="7" t="s">
        <v>585</v>
      </c>
      <c r="J184" s="7">
        <v>576</v>
      </c>
      <c r="K184" s="7" t="s">
        <v>244</v>
      </c>
      <c r="L184" s="7">
        <v>330.33633775600885</v>
      </c>
      <c r="M184" s="7" t="s">
        <v>555</v>
      </c>
      <c r="N184" s="7">
        <v>160</v>
      </c>
      <c r="O184" s="7" t="s">
        <v>56</v>
      </c>
      <c r="P184" s="8">
        <v>363.36997153160974</v>
      </c>
      <c r="V184" s="13">
        <v>48</v>
      </c>
    </row>
    <row r="185" spans="1:22">
      <c r="A185" s="7" t="s">
        <v>586</v>
      </c>
      <c r="B185" s="9" t="s">
        <v>587</v>
      </c>
      <c r="C185" s="7">
        <v>160</v>
      </c>
      <c r="D185" s="7">
        <v>5.2</v>
      </c>
      <c r="E185" s="7">
        <v>48.5</v>
      </c>
      <c r="F185" s="7">
        <v>96.5</v>
      </c>
      <c r="G185" s="7" t="s">
        <v>100</v>
      </c>
      <c r="H185" s="7">
        <v>160</v>
      </c>
      <c r="I185" s="7" t="s">
        <v>566</v>
      </c>
      <c r="J185" s="7">
        <v>576</v>
      </c>
      <c r="K185" s="7" t="s">
        <v>244</v>
      </c>
      <c r="L185" s="7">
        <v>330.33633775600885</v>
      </c>
      <c r="M185" s="7" t="s">
        <v>576</v>
      </c>
      <c r="N185" s="7">
        <v>160</v>
      </c>
      <c r="O185" s="7" t="s">
        <v>56</v>
      </c>
      <c r="P185" s="8">
        <v>363.36997153160974</v>
      </c>
      <c r="V185" s="13">
        <v>48</v>
      </c>
    </row>
    <row r="186" spans="1:22">
      <c r="A186" s="7" t="s">
        <v>588</v>
      </c>
      <c r="B186" s="9" t="s">
        <v>589</v>
      </c>
      <c r="C186" s="7">
        <v>160</v>
      </c>
      <c r="D186" s="7">
        <v>5.2</v>
      </c>
      <c r="E186" s="7">
        <v>48.5</v>
      </c>
      <c r="F186" s="7">
        <v>96.5</v>
      </c>
      <c r="G186" s="7" t="s">
        <v>67</v>
      </c>
      <c r="H186" s="7">
        <v>160</v>
      </c>
      <c r="I186" s="7" t="s">
        <v>572</v>
      </c>
      <c r="J186" s="7">
        <v>160</v>
      </c>
      <c r="K186" s="7" t="s">
        <v>56</v>
      </c>
      <c r="L186" s="7">
        <v>363.36997153160974</v>
      </c>
      <c r="M186" s="7" t="s">
        <v>555</v>
      </c>
      <c r="N186" s="7">
        <v>160</v>
      </c>
      <c r="O186" s="7" t="s">
        <v>56</v>
      </c>
      <c r="P186" s="8">
        <v>363.36997153160974</v>
      </c>
      <c r="V186" s="13">
        <v>48</v>
      </c>
    </row>
    <row r="187" spans="1:22">
      <c r="A187" s="7" t="s">
        <v>590</v>
      </c>
      <c r="B187" s="9" t="s">
        <v>591</v>
      </c>
      <c r="C187" s="7">
        <v>160</v>
      </c>
      <c r="D187" s="7">
        <v>5.2</v>
      </c>
      <c r="E187" s="7">
        <v>48.5</v>
      </c>
      <c r="F187" s="7">
        <v>96.5</v>
      </c>
      <c r="G187" s="7" t="s">
        <v>100</v>
      </c>
      <c r="H187" s="7">
        <v>160</v>
      </c>
      <c r="I187" s="7" t="s">
        <v>585</v>
      </c>
      <c r="J187" s="7">
        <v>576</v>
      </c>
      <c r="K187" s="7" t="s">
        <v>244</v>
      </c>
      <c r="L187" s="7">
        <v>330.33633775600885</v>
      </c>
      <c r="M187" s="7" t="s">
        <v>563</v>
      </c>
      <c r="N187" s="7">
        <v>576</v>
      </c>
      <c r="O187" s="7" t="s">
        <v>244</v>
      </c>
      <c r="P187" s="8">
        <v>330.33633775600885</v>
      </c>
      <c r="V187" s="13">
        <v>48</v>
      </c>
    </row>
    <row r="188" spans="1:22">
      <c r="A188" s="7" t="s">
        <v>592</v>
      </c>
      <c r="B188" s="9" t="s">
        <v>593</v>
      </c>
      <c r="C188" s="7">
        <v>160</v>
      </c>
      <c r="D188" s="7">
        <v>5.2</v>
      </c>
      <c r="E188" s="7">
        <v>48.5</v>
      </c>
      <c r="F188" s="7">
        <v>96.5</v>
      </c>
      <c r="G188" s="7" t="s">
        <v>67</v>
      </c>
      <c r="H188" s="7">
        <v>160</v>
      </c>
      <c r="I188" s="7" t="s">
        <v>594</v>
      </c>
      <c r="J188" s="7">
        <v>160</v>
      </c>
      <c r="K188" s="7" t="s">
        <v>56</v>
      </c>
      <c r="L188" s="7">
        <v>363.36997153160974</v>
      </c>
      <c r="M188" s="7" t="s">
        <v>595</v>
      </c>
      <c r="N188" s="7">
        <v>160</v>
      </c>
      <c r="O188" s="7" t="s">
        <v>56</v>
      </c>
      <c r="P188" s="8">
        <v>363.36997153160974</v>
      </c>
      <c r="V188" s="13">
        <v>48</v>
      </c>
    </row>
    <row r="189" spans="1:22">
      <c r="A189" s="7" t="s">
        <v>596</v>
      </c>
      <c r="B189" s="9" t="s">
        <v>597</v>
      </c>
      <c r="C189" s="7">
        <v>160</v>
      </c>
      <c r="D189" s="7">
        <v>5.2</v>
      </c>
      <c r="E189" s="7">
        <v>48.5</v>
      </c>
      <c r="F189" s="7">
        <v>96.5</v>
      </c>
      <c r="G189" s="7" t="s">
        <v>67</v>
      </c>
      <c r="H189" s="7">
        <v>160</v>
      </c>
      <c r="I189" s="7" t="s">
        <v>554</v>
      </c>
      <c r="J189" s="7">
        <v>160</v>
      </c>
      <c r="K189" s="7" t="s">
        <v>56</v>
      </c>
      <c r="L189" s="7">
        <v>363.36997153160974</v>
      </c>
      <c r="M189" s="7" t="s">
        <v>595</v>
      </c>
      <c r="N189" s="7">
        <v>160</v>
      </c>
      <c r="O189" s="7" t="s">
        <v>56</v>
      </c>
      <c r="P189" s="8">
        <v>363.36997153160974</v>
      </c>
      <c r="V189" s="13">
        <v>48</v>
      </c>
    </row>
    <row r="190" spans="1:22">
      <c r="A190" s="7" t="s">
        <v>598</v>
      </c>
      <c r="B190" s="9" t="s">
        <v>599</v>
      </c>
      <c r="C190" s="7">
        <v>160</v>
      </c>
      <c r="D190" s="7">
        <v>5.2</v>
      </c>
      <c r="E190" s="7">
        <v>48.5</v>
      </c>
      <c r="F190" s="7">
        <v>96.5</v>
      </c>
      <c r="G190" s="7" t="s">
        <v>100</v>
      </c>
      <c r="H190" s="7">
        <v>160</v>
      </c>
      <c r="I190" s="7" t="s">
        <v>585</v>
      </c>
      <c r="J190" s="7">
        <v>576</v>
      </c>
      <c r="K190" s="7" t="s">
        <v>244</v>
      </c>
      <c r="L190" s="7">
        <v>330.33633775600885</v>
      </c>
      <c r="M190" s="7" t="s">
        <v>563</v>
      </c>
      <c r="N190" s="7">
        <v>576</v>
      </c>
      <c r="O190" s="7" t="s">
        <v>244</v>
      </c>
      <c r="P190" s="8">
        <v>330.33633775600885</v>
      </c>
      <c r="V190" s="13">
        <v>48</v>
      </c>
    </row>
    <row r="191" spans="1:22">
      <c r="A191" s="7" t="s">
        <v>600</v>
      </c>
      <c r="B191" s="9" t="s">
        <v>601</v>
      </c>
      <c r="C191" s="7">
        <v>160</v>
      </c>
      <c r="D191" s="7">
        <v>5.2</v>
      </c>
      <c r="E191" s="7">
        <v>48.5</v>
      </c>
      <c r="F191" s="7">
        <v>96.5</v>
      </c>
      <c r="G191" s="7" t="s">
        <v>67</v>
      </c>
      <c r="H191" s="7">
        <v>160</v>
      </c>
      <c r="I191" s="7" t="s">
        <v>602</v>
      </c>
      <c r="J191" s="7">
        <v>160</v>
      </c>
      <c r="K191" s="7" t="s">
        <v>56</v>
      </c>
      <c r="L191" s="7">
        <v>363.36997153160974</v>
      </c>
      <c r="M191" s="7" t="s">
        <v>271</v>
      </c>
      <c r="N191" s="7">
        <v>160</v>
      </c>
      <c r="O191" s="7" t="s">
        <v>225</v>
      </c>
      <c r="P191" s="8">
        <v>363.36997153160974</v>
      </c>
      <c r="V191" s="13">
        <v>48</v>
      </c>
    </row>
    <row r="192" spans="1:22">
      <c r="A192" s="7" t="s">
        <v>603</v>
      </c>
      <c r="B192" s="9" t="s">
        <v>604</v>
      </c>
      <c r="C192" s="7">
        <v>120</v>
      </c>
      <c r="D192" s="7">
        <v>5.2</v>
      </c>
      <c r="E192" s="7">
        <v>48.5</v>
      </c>
      <c r="F192" s="7">
        <v>96.5</v>
      </c>
      <c r="G192" s="7" t="s">
        <v>100</v>
      </c>
      <c r="H192" s="7">
        <v>120</v>
      </c>
      <c r="I192" s="7" t="s">
        <v>566</v>
      </c>
      <c r="J192" s="7">
        <v>432</v>
      </c>
      <c r="K192" s="7" t="s">
        <v>244</v>
      </c>
      <c r="L192" s="7">
        <v>330.33633775600885</v>
      </c>
      <c r="M192" s="7" t="s">
        <v>567</v>
      </c>
      <c r="N192" s="7">
        <v>432</v>
      </c>
      <c r="O192" s="7" t="s">
        <v>244</v>
      </c>
      <c r="P192" s="8">
        <v>330.33633775600885</v>
      </c>
      <c r="V192" s="13">
        <v>48</v>
      </c>
    </row>
    <row r="193" spans="1:22">
      <c r="A193" s="7" t="s">
        <v>605</v>
      </c>
      <c r="B193" s="9" t="s">
        <v>606</v>
      </c>
      <c r="C193" s="7">
        <v>160</v>
      </c>
      <c r="D193" s="7">
        <v>5.2</v>
      </c>
      <c r="E193" s="7">
        <v>48.5</v>
      </c>
      <c r="F193" s="7">
        <v>96.5</v>
      </c>
      <c r="G193" s="7" t="s">
        <v>67</v>
      </c>
      <c r="H193" s="7">
        <v>160</v>
      </c>
      <c r="I193" s="7" t="s">
        <v>607</v>
      </c>
      <c r="J193" s="7">
        <v>160</v>
      </c>
      <c r="K193" s="7" t="s">
        <v>56</v>
      </c>
      <c r="L193" s="7">
        <v>363.36997153160974</v>
      </c>
      <c r="M193" s="7" t="s">
        <v>595</v>
      </c>
      <c r="N193" s="7">
        <v>160</v>
      </c>
      <c r="O193" s="7" t="s">
        <v>56</v>
      </c>
      <c r="P193" s="8">
        <v>363.36997153160974</v>
      </c>
      <c r="V193" s="13">
        <v>48</v>
      </c>
    </row>
    <row r="194" spans="1:22">
      <c r="A194" s="7" t="s">
        <v>608</v>
      </c>
      <c r="B194" s="9" t="s">
        <v>609</v>
      </c>
      <c r="C194" s="7">
        <v>160</v>
      </c>
      <c r="D194" s="7">
        <v>5.2</v>
      </c>
      <c r="E194" s="7">
        <v>48.5</v>
      </c>
      <c r="F194" s="7">
        <v>96.5</v>
      </c>
      <c r="G194" s="7" t="s">
        <v>67</v>
      </c>
      <c r="H194" s="7">
        <v>160</v>
      </c>
      <c r="I194" s="7" t="s">
        <v>610</v>
      </c>
      <c r="J194" s="7">
        <v>160</v>
      </c>
      <c r="K194" s="7" t="s">
        <v>56</v>
      </c>
      <c r="L194" s="7">
        <v>363.36997153160974</v>
      </c>
      <c r="M194" s="7" t="s">
        <v>595</v>
      </c>
      <c r="N194" s="7">
        <v>160</v>
      </c>
      <c r="O194" s="7" t="s">
        <v>56</v>
      </c>
      <c r="P194" s="8">
        <v>363.36997153160974</v>
      </c>
      <c r="V194" s="13">
        <v>48</v>
      </c>
    </row>
    <row r="195" spans="1:22">
      <c r="A195" s="7" t="s">
        <v>611</v>
      </c>
      <c r="B195" s="9" t="s">
        <v>612</v>
      </c>
      <c r="C195" s="7">
        <v>120</v>
      </c>
      <c r="D195" s="7">
        <v>5.2</v>
      </c>
      <c r="E195" s="7">
        <v>48.5</v>
      </c>
      <c r="F195" s="7">
        <v>96.5</v>
      </c>
      <c r="G195" s="7" t="s">
        <v>100</v>
      </c>
      <c r="H195" s="7">
        <v>120</v>
      </c>
      <c r="I195" s="7" t="s">
        <v>562</v>
      </c>
      <c r="J195" s="7">
        <v>432</v>
      </c>
      <c r="K195" s="7" t="s">
        <v>244</v>
      </c>
      <c r="L195" s="7">
        <v>330.33633775600885</v>
      </c>
      <c r="M195" s="7" t="s">
        <v>595</v>
      </c>
      <c r="N195" s="7">
        <v>120</v>
      </c>
      <c r="O195" s="7" t="s">
        <v>56</v>
      </c>
      <c r="P195" s="8">
        <v>363.36997153160974</v>
      </c>
      <c r="V195" s="13">
        <v>48</v>
      </c>
    </row>
    <row r="196" spans="1:22">
      <c r="A196" s="7" t="s">
        <v>613</v>
      </c>
      <c r="B196" s="9" t="s">
        <v>614</v>
      </c>
      <c r="C196" s="7">
        <v>160</v>
      </c>
      <c r="D196" s="7">
        <v>5.2</v>
      </c>
      <c r="E196" s="7">
        <v>48.5</v>
      </c>
      <c r="F196" s="7">
        <v>96.5</v>
      </c>
      <c r="G196" s="7" t="s">
        <v>100</v>
      </c>
      <c r="H196" s="7">
        <v>160</v>
      </c>
      <c r="I196" s="7" t="s">
        <v>562</v>
      </c>
      <c r="J196" s="7">
        <v>576</v>
      </c>
      <c r="K196" s="7" t="s">
        <v>244</v>
      </c>
      <c r="L196" s="7">
        <v>330.33633775600885</v>
      </c>
      <c r="M196" s="7" t="s">
        <v>563</v>
      </c>
      <c r="N196" s="7">
        <v>576</v>
      </c>
      <c r="O196" s="7" t="s">
        <v>244</v>
      </c>
      <c r="P196" s="8">
        <v>330.33633775600885</v>
      </c>
      <c r="V196" s="13">
        <v>48</v>
      </c>
    </row>
    <row r="197" spans="1:22">
      <c r="A197" s="7" t="s">
        <v>615</v>
      </c>
      <c r="B197" s="9" t="s">
        <v>616</v>
      </c>
      <c r="C197" s="7">
        <v>160</v>
      </c>
      <c r="D197" s="7">
        <v>5.2</v>
      </c>
      <c r="E197" s="7">
        <v>48.5</v>
      </c>
      <c r="F197" s="7">
        <v>96.5</v>
      </c>
      <c r="G197" s="7" t="s">
        <v>100</v>
      </c>
      <c r="H197" s="7">
        <v>160</v>
      </c>
      <c r="I197" s="7" t="s">
        <v>562</v>
      </c>
      <c r="J197" s="7">
        <v>576</v>
      </c>
      <c r="K197" s="7" t="s">
        <v>244</v>
      </c>
      <c r="L197" s="7">
        <v>330.33633775600885</v>
      </c>
      <c r="M197" s="7" t="s">
        <v>563</v>
      </c>
      <c r="N197" s="7">
        <v>576</v>
      </c>
      <c r="O197" s="7" t="s">
        <v>244</v>
      </c>
      <c r="P197" s="8">
        <v>330.33633775600885</v>
      </c>
      <c r="V197" s="13">
        <v>48</v>
      </c>
    </row>
    <row r="198" spans="1:22">
      <c r="A198" s="7" t="s">
        <v>617</v>
      </c>
      <c r="B198" s="9" t="s">
        <v>618</v>
      </c>
      <c r="C198" s="7">
        <v>160</v>
      </c>
      <c r="D198" s="7">
        <v>5.2</v>
      </c>
      <c r="E198" s="7">
        <v>48.5</v>
      </c>
      <c r="F198" s="7">
        <v>96.5</v>
      </c>
      <c r="G198" s="7" t="s">
        <v>100</v>
      </c>
      <c r="H198" s="7">
        <v>160</v>
      </c>
      <c r="I198" s="7" t="s">
        <v>566</v>
      </c>
      <c r="J198" s="7">
        <v>576</v>
      </c>
      <c r="K198" s="7" t="s">
        <v>244</v>
      </c>
      <c r="L198" s="7">
        <v>330.33633775600885</v>
      </c>
      <c r="M198" s="7" t="s">
        <v>567</v>
      </c>
      <c r="N198" s="7">
        <v>576</v>
      </c>
      <c r="O198" s="7" t="s">
        <v>244</v>
      </c>
      <c r="P198" s="8">
        <v>330.33633775600885</v>
      </c>
      <c r="V198" s="13">
        <v>48</v>
      </c>
    </row>
    <row r="199" spans="1:22">
      <c r="A199" s="7" t="s">
        <v>619</v>
      </c>
      <c r="B199" s="9" t="s">
        <v>620</v>
      </c>
      <c r="C199" s="7">
        <v>160</v>
      </c>
      <c r="D199" s="7">
        <v>5.2</v>
      </c>
      <c r="E199" s="7">
        <v>48.5</v>
      </c>
      <c r="F199" s="7">
        <v>96.5</v>
      </c>
      <c r="G199" s="7" t="s">
        <v>100</v>
      </c>
      <c r="H199" s="7">
        <v>160</v>
      </c>
      <c r="I199" s="7" t="s">
        <v>585</v>
      </c>
      <c r="J199" s="7">
        <v>576</v>
      </c>
      <c r="K199" s="7" t="s">
        <v>244</v>
      </c>
      <c r="L199" s="7">
        <v>330.33633775600885</v>
      </c>
      <c r="M199" s="7" t="s">
        <v>555</v>
      </c>
      <c r="N199" s="7">
        <v>160</v>
      </c>
      <c r="O199" s="7" t="s">
        <v>56</v>
      </c>
      <c r="P199" s="8">
        <v>363.36997153160974</v>
      </c>
      <c r="V199" s="13">
        <v>48</v>
      </c>
    </row>
    <row r="200" spans="1:22">
      <c r="A200" s="7" t="s">
        <v>621</v>
      </c>
      <c r="B200" s="9" t="s">
        <v>622</v>
      </c>
      <c r="C200" s="7">
        <v>100</v>
      </c>
      <c r="D200" s="7">
        <v>5.2</v>
      </c>
      <c r="E200" s="7">
        <v>48.5</v>
      </c>
      <c r="F200" s="7">
        <v>96.5</v>
      </c>
      <c r="G200" s="7" t="s">
        <v>100</v>
      </c>
      <c r="H200" s="7">
        <v>100</v>
      </c>
      <c r="I200" s="7" t="s">
        <v>562</v>
      </c>
      <c r="J200" s="7">
        <v>360</v>
      </c>
      <c r="K200" s="7" t="s">
        <v>244</v>
      </c>
      <c r="L200" s="7">
        <v>330.33633775600885</v>
      </c>
      <c r="M200" s="7" t="s">
        <v>555</v>
      </c>
      <c r="N200" s="7">
        <v>100</v>
      </c>
      <c r="O200" s="7" t="s">
        <v>56</v>
      </c>
      <c r="P200" s="8">
        <v>363.36997153160974</v>
      </c>
      <c r="V200" s="13">
        <v>48</v>
      </c>
    </row>
    <row r="201" spans="1:22">
      <c r="A201" s="7" t="s">
        <v>623</v>
      </c>
      <c r="B201" s="9" t="s">
        <v>624</v>
      </c>
      <c r="C201" s="7">
        <v>100</v>
      </c>
      <c r="D201" s="7">
        <v>5.2</v>
      </c>
      <c r="E201" s="7">
        <v>48.5</v>
      </c>
      <c r="F201" s="7">
        <v>96.5</v>
      </c>
      <c r="G201" s="7" t="s">
        <v>100</v>
      </c>
      <c r="H201" s="7">
        <v>100</v>
      </c>
      <c r="I201" s="7" t="s">
        <v>566</v>
      </c>
      <c r="J201" s="7">
        <v>360</v>
      </c>
      <c r="K201" s="7" t="s">
        <v>244</v>
      </c>
      <c r="L201" s="7">
        <v>330.33633775600885</v>
      </c>
      <c r="M201" s="7" t="s">
        <v>576</v>
      </c>
      <c r="N201" s="7">
        <v>100</v>
      </c>
      <c r="O201" s="7" t="s">
        <v>56</v>
      </c>
      <c r="P201" s="8">
        <v>363.36997153160974</v>
      </c>
      <c r="V201" s="13">
        <v>48</v>
      </c>
    </row>
    <row r="202" spans="1:22">
      <c r="A202" s="7" t="s">
        <v>625</v>
      </c>
      <c r="B202" s="9" t="s">
        <v>626</v>
      </c>
      <c r="C202" s="7">
        <v>110</v>
      </c>
      <c r="D202" s="7">
        <v>6</v>
      </c>
      <c r="E202" s="7">
        <v>48.5</v>
      </c>
      <c r="F202" s="7">
        <v>96.5</v>
      </c>
      <c r="G202" s="7" t="s">
        <v>290</v>
      </c>
      <c r="H202" s="7">
        <v>110</v>
      </c>
      <c r="I202" s="7" t="s">
        <v>566</v>
      </c>
      <c r="J202" s="7">
        <v>396</v>
      </c>
      <c r="K202" s="7" t="s">
        <v>244</v>
      </c>
      <c r="L202" s="7">
        <v>330.33633775600885</v>
      </c>
      <c r="M202" s="7" t="s">
        <v>566</v>
      </c>
      <c r="N202" s="7">
        <v>396</v>
      </c>
      <c r="O202" s="7" t="s">
        <v>244</v>
      </c>
      <c r="P202" s="8">
        <v>330.33633775600885</v>
      </c>
      <c r="V202" s="13">
        <v>48</v>
      </c>
    </row>
    <row r="203" spans="1:22">
      <c r="A203" s="7" t="s">
        <v>627</v>
      </c>
      <c r="B203" s="9" t="s">
        <v>628</v>
      </c>
      <c r="C203" s="7">
        <v>70</v>
      </c>
      <c r="D203" s="7">
        <v>12.7</v>
      </c>
      <c r="E203" s="7">
        <v>48.5</v>
      </c>
      <c r="F203" s="7">
        <v>96.5</v>
      </c>
      <c r="G203" s="7" t="s">
        <v>629</v>
      </c>
      <c r="H203" s="7">
        <v>70</v>
      </c>
      <c r="I203" s="7" t="s">
        <v>554</v>
      </c>
      <c r="J203" s="7">
        <v>70</v>
      </c>
      <c r="K203" s="7" t="s">
        <v>56</v>
      </c>
      <c r="L203" s="7">
        <v>357.67940424769745</v>
      </c>
      <c r="M203" s="7" t="s">
        <v>555</v>
      </c>
      <c r="N203" s="7">
        <v>70</v>
      </c>
      <c r="O203" s="7" t="s">
        <v>56</v>
      </c>
      <c r="P203" s="8">
        <v>357.67940424769745</v>
      </c>
      <c r="V203" s="13">
        <v>48</v>
      </c>
    </row>
    <row r="204" spans="1:22">
      <c r="A204" s="7" t="s">
        <v>630</v>
      </c>
      <c r="B204" s="9" t="s">
        <v>631</v>
      </c>
      <c r="C204" s="7">
        <v>65</v>
      </c>
      <c r="D204" s="7">
        <v>12.7</v>
      </c>
      <c r="E204" s="7">
        <v>48.5</v>
      </c>
      <c r="F204" s="7">
        <v>120.5</v>
      </c>
      <c r="G204" s="7" t="s">
        <v>632</v>
      </c>
      <c r="H204" s="7">
        <v>65</v>
      </c>
      <c r="I204" s="7" t="s">
        <v>558</v>
      </c>
      <c r="J204" s="7">
        <v>65</v>
      </c>
      <c r="K204" s="7" t="s">
        <v>56</v>
      </c>
      <c r="L204" s="7">
        <v>453.14372920412512</v>
      </c>
      <c r="M204" s="7" t="s">
        <v>633</v>
      </c>
      <c r="N204" s="7">
        <v>65</v>
      </c>
      <c r="O204" s="7" t="s">
        <v>56</v>
      </c>
      <c r="P204" s="8">
        <v>453.14372920412512</v>
      </c>
      <c r="V204" s="13">
        <v>48</v>
      </c>
    </row>
    <row r="205" spans="1:22">
      <c r="A205" s="7" t="s">
        <v>634</v>
      </c>
      <c r="B205" s="9" t="s">
        <v>635</v>
      </c>
      <c r="C205" s="7">
        <v>70</v>
      </c>
      <c r="D205" s="7">
        <v>12.7</v>
      </c>
      <c r="E205" s="7">
        <v>48.5</v>
      </c>
      <c r="F205" s="7">
        <v>96.5</v>
      </c>
      <c r="G205" s="7" t="s">
        <v>629</v>
      </c>
      <c r="H205" s="7">
        <v>70</v>
      </c>
      <c r="I205" s="7" t="s">
        <v>575</v>
      </c>
      <c r="J205" s="7">
        <v>70</v>
      </c>
      <c r="K205" s="7" t="s">
        <v>56</v>
      </c>
      <c r="L205" s="7">
        <v>357.67940424769745</v>
      </c>
      <c r="M205" s="7" t="s">
        <v>576</v>
      </c>
      <c r="N205" s="7">
        <v>70</v>
      </c>
      <c r="O205" s="7" t="s">
        <v>56</v>
      </c>
      <c r="P205" s="8">
        <v>357.67940424769745</v>
      </c>
      <c r="V205" s="13">
        <v>48</v>
      </c>
    </row>
    <row r="206" spans="1:22">
      <c r="A206" s="7" t="s">
        <v>636</v>
      </c>
      <c r="B206" s="9" t="s">
        <v>637</v>
      </c>
      <c r="C206" s="7">
        <v>62</v>
      </c>
      <c r="D206" s="7">
        <v>15.7</v>
      </c>
      <c r="E206" s="7">
        <v>48.5</v>
      </c>
      <c r="F206" s="7">
        <v>96.5</v>
      </c>
      <c r="G206" s="7" t="s">
        <v>54</v>
      </c>
      <c r="H206" s="7">
        <v>62</v>
      </c>
      <c r="I206" s="7" t="s">
        <v>638</v>
      </c>
      <c r="J206" s="7">
        <v>62</v>
      </c>
      <c r="K206" s="7" t="s">
        <v>56</v>
      </c>
      <c r="L206" s="7">
        <v>363.36997153160974</v>
      </c>
      <c r="M206" s="7" t="s">
        <v>576</v>
      </c>
      <c r="N206" s="7">
        <v>62</v>
      </c>
      <c r="O206" s="7" t="s">
        <v>56</v>
      </c>
      <c r="P206" s="8">
        <v>363.36997153160974</v>
      </c>
      <c r="V206" s="13">
        <v>48</v>
      </c>
    </row>
    <row r="207" spans="1:22">
      <c r="A207" s="7" t="s">
        <v>639</v>
      </c>
      <c r="B207" s="9" t="s">
        <v>640</v>
      </c>
      <c r="C207" s="7">
        <v>62</v>
      </c>
      <c r="D207" s="7">
        <v>15.7</v>
      </c>
      <c r="E207" s="7">
        <v>48.5</v>
      </c>
      <c r="F207" s="7">
        <v>96.5</v>
      </c>
      <c r="G207" s="7" t="s">
        <v>54</v>
      </c>
      <c r="H207" s="7">
        <v>62</v>
      </c>
      <c r="I207" s="7" t="s">
        <v>554</v>
      </c>
      <c r="J207" s="7">
        <v>62</v>
      </c>
      <c r="K207" s="7" t="s">
        <v>56</v>
      </c>
      <c r="L207" s="7">
        <v>363.36997153160974</v>
      </c>
      <c r="M207" s="7" t="s">
        <v>555</v>
      </c>
      <c r="N207" s="7">
        <v>62</v>
      </c>
      <c r="O207" s="7" t="s">
        <v>56</v>
      </c>
      <c r="P207" s="8">
        <v>363.36997153160974</v>
      </c>
      <c r="V207" s="13">
        <v>48</v>
      </c>
    </row>
    <row r="208" spans="1:22">
      <c r="A208" s="7" t="s">
        <v>641</v>
      </c>
      <c r="B208" s="9" t="s">
        <v>642</v>
      </c>
      <c r="C208" s="7">
        <v>50</v>
      </c>
      <c r="D208" s="7">
        <v>18</v>
      </c>
      <c r="E208" s="7">
        <v>48.5</v>
      </c>
      <c r="F208" s="7">
        <v>96.5</v>
      </c>
      <c r="G208" s="7" t="s">
        <v>202</v>
      </c>
      <c r="H208" s="7">
        <v>50</v>
      </c>
      <c r="I208" s="7" t="s">
        <v>585</v>
      </c>
      <c r="J208" s="7">
        <v>180</v>
      </c>
      <c r="K208" s="7" t="s">
        <v>244</v>
      </c>
      <c r="L208" s="7">
        <v>330.33633775600885</v>
      </c>
      <c r="M208" s="7" t="s">
        <v>563</v>
      </c>
      <c r="N208" s="7">
        <v>180</v>
      </c>
      <c r="O208" s="7" t="s">
        <v>244</v>
      </c>
      <c r="P208" s="8">
        <v>330.33633775600885</v>
      </c>
      <c r="V208" s="13">
        <v>48</v>
      </c>
    </row>
    <row r="209" spans="1:22">
      <c r="A209" s="7" t="s">
        <v>643</v>
      </c>
      <c r="B209" s="9" t="s">
        <v>644</v>
      </c>
      <c r="C209" s="7">
        <v>40</v>
      </c>
      <c r="D209" s="7">
        <v>18</v>
      </c>
      <c r="E209" s="7">
        <v>48.5</v>
      </c>
      <c r="F209" s="7">
        <v>96.5</v>
      </c>
      <c r="G209" s="7" t="s">
        <v>202</v>
      </c>
      <c r="H209" s="7">
        <v>40</v>
      </c>
      <c r="I209" s="7" t="s">
        <v>562</v>
      </c>
      <c r="J209" s="7">
        <v>144</v>
      </c>
      <c r="K209" s="7" t="s">
        <v>244</v>
      </c>
      <c r="L209" s="7">
        <v>330.33633775600885</v>
      </c>
      <c r="M209" s="7" t="s">
        <v>563</v>
      </c>
      <c r="N209" s="7">
        <v>144</v>
      </c>
      <c r="O209" s="7" t="s">
        <v>244</v>
      </c>
      <c r="P209" s="8">
        <v>330.33633775600885</v>
      </c>
      <c r="V209" s="13">
        <v>48</v>
      </c>
    </row>
    <row r="210" spans="1:22">
      <c r="A210" s="7" t="s">
        <v>645</v>
      </c>
      <c r="B210" s="9" t="s">
        <v>646</v>
      </c>
      <c r="C210" s="7">
        <v>50</v>
      </c>
      <c r="D210" s="7">
        <v>18</v>
      </c>
      <c r="E210" s="7">
        <v>48.5</v>
      </c>
      <c r="F210" s="7">
        <v>96.5</v>
      </c>
      <c r="G210" s="7" t="s">
        <v>202</v>
      </c>
      <c r="H210" s="7">
        <v>50</v>
      </c>
      <c r="I210" s="7" t="s">
        <v>566</v>
      </c>
      <c r="J210" s="7">
        <v>180</v>
      </c>
      <c r="K210" s="7" t="s">
        <v>244</v>
      </c>
      <c r="L210" s="7">
        <v>330.33633775600885</v>
      </c>
      <c r="M210" s="7" t="s">
        <v>567</v>
      </c>
      <c r="N210" s="7">
        <v>180</v>
      </c>
      <c r="O210" s="7" t="s">
        <v>244</v>
      </c>
      <c r="P210" s="8">
        <v>330.33633775600885</v>
      </c>
      <c r="V210" s="13">
        <v>48</v>
      </c>
    </row>
    <row r="211" spans="1:22">
      <c r="A211" s="7" t="s">
        <v>647</v>
      </c>
      <c r="B211" s="9" t="s">
        <v>644</v>
      </c>
      <c r="C211" s="7">
        <v>50</v>
      </c>
      <c r="D211" s="7">
        <v>18</v>
      </c>
      <c r="E211" s="7">
        <v>48.5</v>
      </c>
      <c r="F211" s="7">
        <v>96.5</v>
      </c>
      <c r="G211" s="7" t="s">
        <v>202</v>
      </c>
      <c r="H211" s="7">
        <v>50</v>
      </c>
      <c r="I211" s="7" t="s">
        <v>562</v>
      </c>
      <c r="J211" s="7">
        <v>180</v>
      </c>
      <c r="K211" s="7" t="s">
        <v>244</v>
      </c>
      <c r="L211" s="7">
        <v>330.33633775600885</v>
      </c>
      <c r="M211" s="7" t="s">
        <v>563</v>
      </c>
      <c r="N211" s="7">
        <v>180</v>
      </c>
      <c r="O211" s="7" t="s">
        <v>244</v>
      </c>
      <c r="P211" s="8">
        <v>330.33633775600885</v>
      </c>
      <c r="V211" s="13">
        <v>48</v>
      </c>
    </row>
    <row r="212" spans="1:22">
      <c r="A212" s="7" t="s">
        <v>648</v>
      </c>
      <c r="B212" s="9" t="s">
        <v>649</v>
      </c>
      <c r="C212" s="7">
        <v>50</v>
      </c>
      <c r="D212" s="7">
        <v>19</v>
      </c>
      <c r="E212" s="7">
        <v>48.5</v>
      </c>
      <c r="F212" s="7">
        <v>96.5</v>
      </c>
      <c r="G212" s="7" t="s">
        <v>202</v>
      </c>
      <c r="H212" s="7">
        <v>50</v>
      </c>
      <c r="I212" s="7" t="s">
        <v>575</v>
      </c>
      <c r="J212" s="7">
        <v>50</v>
      </c>
      <c r="K212" s="7" t="s">
        <v>56</v>
      </c>
      <c r="L212" s="7">
        <v>363.36997153160974</v>
      </c>
      <c r="M212" s="7" t="s">
        <v>576</v>
      </c>
      <c r="N212" s="7">
        <v>50</v>
      </c>
      <c r="O212" s="7" t="s">
        <v>56</v>
      </c>
      <c r="P212" s="8">
        <v>363.36997153160974</v>
      </c>
      <c r="V212" s="13">
        <v>48</v>
      </c>
    </row>
    <row r="213" spans="1:22">
      <c r="A213" s="7" t="s">
        <v>650</v>
      </c>
      <c r="B213" s="9" t="s">
        <v>651</v>
      </c>
      <c r="C213" s="7">
        <v>45</v>
      </c>
      <c r="D213" s="7">
        <v>19</v>
      </c>
      <c r="E213" s="7">
        <v>48.5</v>
      </c>
      <c r="F213" s="7">
        <v>120.5</v>
      </c>
      <c r="G213" s="7" t="s">
        <v>197</v>
      </c>
      <c r="H213" s="7">
        <v>45</v>
      </c>
      <c r="I213" s="7" t="s">
        <v>558</v>
      </c>
      <c r="J213" s="7">
        <v>45</v>
      </c>
      <c r="K213" s="7" t="s">
        <v>56</v>
      </c>
      <c r="L213" s="7">
        <v>453.14372920412512</v>
      </c>
      <c r="M213" s="7" t="s">
        <v>633</v>
      </c>
      <c r="N213" s="7">
        <v>45</v>
      </c>
      <c r="O213" s="7" t="s">
        <v>56</v>
      </c>
      <c r="P213" s="8">
        <v>453.14372920412512</v>
      </c>
      <c r="V213" s="13">
        <v>48</v>
      </c>
    </row>
    <row r="214" spans="1:22">
      <c r="A214" s="7" t="s">
        <v>652</v>
      </c>
      <c r="B214" s="9" t="s">
        <v>653</v>
      </c>
      <c r="C214" s="7">
        <v>50</v>
      </c>
      <c r="D214" s="7">
        <v>19</v>
      </c>
      <c r="E214" s="7">
        <v>48.5</v>
      </c>
      <c r="F214" s="7">
        <v>96.5</v>
      </c>
      <c r="G214" s="7" t="s">
        <v>202</v>
      </c>
      <c r="H214" s="7">
        <v>50</v>
      </c>
      <c r="I214" s="7" t="s">
        <v>554</v>
      </c>
      <c r="J214" s="7">
        <v>50</v>
      </c>
      <c r="K214" s="7" t="s">
        <v>56</v>
      </c>
      <c r="L214" s="7">
        <v>363.36997153160974</v>
      </c>
      <c r="M214" s="7" t="s">
        <v>555</v>
      </c>
      <c r="N214" s="7">
        <v>50</v>
      </c>
      <c r="O214" s="7" t="s">
        <v>56</v>
      </c>
      <c r="P214" s="8">
        <v>363.36997153160974</v>
      </c>
      <c r="V214" s="13">
        <v>48</v>
      </c>
    </row>
    <row r="215" spans="1:22">
      <c r="A215" s="7" t="s">
        <v>654</v>
      </c>
      <c r="B215" s="9" t="s">
        <v>655</v>
      </c>
      <c r="C215" s="7">
        <v>45</v>
      </c>
      <c r="D215" s="7">
        <v>19</v>
      </c>
      <c r="E215" s="7">
        <v>48.5</v>
      </c>
      <c r="F215" s="7">
        <v>120.5</v>
      </c>
      <c r="G215" s="7" t="s">
        <v>197</v>
      </c>
      <c r="H215" s="7">
        <v>45</v>
      </c>
      <c r="I215" s="7" t="s">
        <v>656</v>
      </c>
      <c r="J215" s="7">
        <v>45</v>
      </c>
      <c r="K215" s="7" t="s">
        <v>56</v>
      </c>
      <c r="L215" s="7">
        <v>453.14372920412512</v>
      </c>
      <c r="M215" s="7" t="s">
        <v>576</v>
      </c>
      <c r="N215" s="7">
        <v>45</v>
      </c>
      <c r="O215" s="7" t="s">
        <v>56</v>
      </c>
      <c r="P215" s="8">
        <v>453.14372920412512</v>
      </c>
      <c r="V215" s="13">
        <v>48</v>
      </c>
    </row>
    <row r="216" spans="1:22">
      <c r="A216" s="7" t="s">
        <v>657</v>
      </c>
      <c r="B216" s="9" t="s">
        <v>658</v>
      </c>
      <c r="C216" s="7">
        <v>45</v>
      </c>
      <c r="D216" s="7">
        <v>19</v>
      </c>
      <c r="E216" s="7">
        <v>48.5</v>
      </c>
      <c r="F216" s="7">
        <v>120.5</v>
      </c>
      <c r="G216" s="7" t="s">
        <v>197</v>
      </c>
      <c r="H216" s="7">
        <v>45</v>
      </c>
      <c r="I216" s="7" t="s">
        <v>659</v>
      </c>
      <c r="J216" s="7">
        <v>45</v>
      </c>
      <c r="K216" s="7" t="s">
        <v>56</v>
      </c>
      <c r="L216" s="7">
        <v>453.14372920412512</v>
      </c>
      <c r="M216" s="7" t="s">
        <v>660</v>
      </c>
      <c r="N216" s="7">
        <v>45</v>
      </c>
      <c r="O216" s="7" t="s">
        <v>56</v>
      </c>
      <c r="P216" s="8">
        <v>453.14372920412512</v>
      </c>
      <c r="V216" s="13">
        <v>48</v>
      </c>
    </row>
    <row r="217" spans="1:22">
      <c r="A217" s="7" t="s">
        <v>661</v>
      </c>
      <c r="B217" s="9" t="s">
        <v>662</v>
      </c>
      <c r="C217" s="7">
        <v>45</v>
      </c>
      <c r="D217" s="7">
        <v>19</v>
      </c>
      <c r="E217" s="7">
        <v>48.5</v>
      </c>
      <c r="F217" s="7">
        <v>120.5</v>
      </c>
      <c r="G217" s="7" t="s">
        <v>197</v>
      </c>
      <c r="H217" s="7">
        <v>45</v>
      </c>
      <c r="I217" s="7" t="s">
        <v>663</v>
      </c>
      <c r="J217" s="7">
        <v>45</v>
      </c>
      <c r="K217" s="7" t="s">
        <v>56</v>
      </c>
      <c r="L217" s="7">
        <v>453.14372920412512</v>
      </c>
      <c r="M217" s="7" t="s">
        <v>664</v>
      </c>
      <c r="N217" s="7">
        <v>45</v>
      </c>
      <c r="O217" s="7" t="s">
        <v>56</v>
      </c>
      <c r="P217" s="8">
        <v>453.14372920412512</v>
      </c>
      <c r="V217" s="13">
        <v>48</v>
      </c>
    </row>
    <row r="218" spans="1:22">
      <c r="A218" s="7" t="s">
        <v>665</v>
      </c>
      <c r="B218" s="9" t="s">
        <v>666</v>
      </c>
      <c r="C218" s="7">
        <v>50</v>
      </c>
      <c r="D218" s="7">
        <v>19</v>
      </c>
      <c r="E218" s="7">
        <v>48.5</v>
      </c>
      <c r="F218" s="7">
        <v>96.5</v>
      </c>
      <c r="G218" s="7" t="s">
        <v>202</v>
      </c>
      <c r="H218" s="7">
        <v>50</v>
      </c>
      <c r="I218" s="7" t="s">
        <v>667</v>
      </c>
      <c r="J218" s="7">
        <v>50</v>
      </c>
      <c r="K218" s="7" t="s">
        <v>56</v>
      </c>
      <c r="L218" s="7">
        <v>363.36997153160974</v>
      </c>
      <c r="M218" s="7" t="s">
        <v>668</v>
      </c>
      <c r="N218" s="7">
        <v>50</v>
      </c>
      <c r="O218" s="7" t="s">
        <v>56</v>
      </c>
      <c r="P218" s="8">
        <v>363.36997153160974</v>
      </c>
      <c r="V218" s="13">
        <v>48</v>
      </c>
    </row>
    <row r="219" spans="1:22">
      <c r="A219" s="7" t="s">
        <v>669</v>
      </c>
      <c r="B219" s="9" t="s">
        <v>670</v>
      </c>
      <c r="C219" s="7">
        <v>50</v>
      </c>
      <c r="D219" s="7">
        <v>19</v>
      </c>
      <c r="E219" s="7">
        <v>48.5</v>
      </c>
      <c r="F219" s="7">
        <v>96.5</v>
      </c>
      <c r="G219" s="7" t="s">
        <v>202</v>
      </c>
      <c r="H219" s="7">
        <v>50</v>
      </c>
      <c r="I219" s="7" t="s">
        <v>671</v>
      </c>
      <c r="J219" s="7">
        <v>50</v>
      </c>
      <c r="K219" s="7" t="s">
        <v>56</v>
      </c>
      <c r="L219" s="7">
        <v>363.36997153160974</v>
      </c>
      <c r="M219" s="7" t="s">
        <v>672</v>
      </c>
      <c r="N219" s="7">
        <v>50</v>
      </c>
      <c r="O219" s="7" t="s">
        <v>56</v>
      </c>
      <c r="P219" s="8">
        <v>363.36997153160974</v>
      </c>
      <c r="V219" s="13">
        <v>48</v>
      </c>
    </row>
    <row r="220" spans="1:22">
      <c r="A220" s="7" t="s">
        <v>673</v>
      </c>
      <c r="B220" s="9" t="s">
        <v>674</v>
      </c>
      <c r="C220" s="7">
        <v>42</v>
      </c>
      <c r="D220" s="7">
        <v>19</v>
      </c>
      <c r="E220" s="7">
        <v>48.5</v>
      </c>
      <c r="F220" s="7">
        <v>120.5</v>
      </c>
      <c r="G220" s="7" t="s">
        <v>197</v>
      </c>
      <c r="H220" s="7">
        <v>42</v>
      </c>
      <c r="I220" s="7" t="s">
        <v>675</v>
      </c>
      <c r="J220" s="7">
        <v>42</v>
      </c>
      <c r="K220" s="7" t="s">
        <v>56</v>
      </c>
      <c r="L220" s="7">
        <v>453.14372920412512</v>
      </c>
      <c r="M220" s="7" t="s">
        <v>576</v>
      </c>
      <c r="N220" s="7">
        <v>42</v>
      </c>
      <c r="O220" s="7" t="s">
        <v>56</v>
      </c>
      <c r="P220" s="8">
        <v>453.14372920412512</v>
      </c>
      <c r="V220" s="13">
        <v>48</v>
      </c>
    </row>
    <row r="221" spans="1:22">
      <c r="A221" s="7" t="s">
        <v>676</v>
      </c>
      <c r="B221" s="9" t="s">
        <v>677</v>
      </c>
      <c r="C221" s="7">
        <v>46</v>
      </c>
      <c r="D221" s="7">
        <v>19</v>
      </c>
      <c r="E221" s="7">
        <v>48.5</v>
      </c>
      <c r="F221" s="7">
        <v>120.5</v>
      </c>
      <c r="G221" s="7" t="s">
        <v>197</v>
      </c>
      <c r="H221" s="7">
        <v>46</v>
      </c>
      <c r="I221" s="7" t="s">
        <v>678</v>
      </c>
      <c r="J221" s="7">
        <v>46</v>
      </c>
      <c r="K221" s="7" t="s">
        <v>56</v>
      </c>
      <c r="L221" s="7">
        <v>453.14372920412512</v>
      </c>
      <c r="M221" s="7" t="s">
        <v>633</v>
      </c>
      <c r="N221" s="7">
        <v>46</v>
      </c>
      <c r="O221" s="7" t="s">
        <v>56</v>
      </c>
      <c r="P221" s="8">
        <v>453.14372920412512</v>
      </c>
      <c r="V221" s="13">
        <v>48</v>
      </c>
    </row>
    <row r="222" spans="1:22">
      <c r="A222" s="7" t="s">
        <v>679</v>
      </c>
      <c r="B222" s="9" t="s">
        <v>680</v>
      </c>
      <c r="C222" s="7">
        <v>180</v>
      </c>
      <c r="D222" s="7">
        <v>5.2</v>
      </c>
      <c r="E222" s="7">
        <v>48</v>
      </c>
      <c r="F222" s="7">
        <v>96</v>
      </c>
      <c r="G222" s="7" t="s">
        <v>295</v>
      </c>
      <c r="H222" s="7">
        <v>180</v>
      </c>
      <c r="I222" s="7" t="s">
        <v>585</v>
      </c>
      <c r="J222" s="7">
        <v>648</v>
      </c>
      <c r="K222" s="7" t="s">
        <v>244</v>
      </c>
      <c r="L222" s="7">
        <v>330.33633775600885</v>
      </c>
      <c r="M222" s="7" t="s">
        <v>563</v>
      </c>
      <c r="N222" s="7">
        <v>648</v>
      </c>
      <c r="O222" s="7" t="s">
        <v>244</v>
      </c>
      <c r="P222" s="8">
        <v>330.33633775600885</v>
      </c>
      <c r="V222" s="13">
        <v>48</v>
      </c>
    </row>
    <row r="223" spans="1:22">
      <c r="A223" s="7" t="s">
        <v>681</v>
      </c>
      <c r="B223" s="9" t="s">
        <v>682</v>
      </c>
      <c r="C223" s="7">
        <v>75</v>
      </c>
      <c r="D223" s="7">
        <v>12.7</v>
      </c>
      <c r="E223" s="7">
        <v>48.5</v>
      </c>
      <c r="F223" s="7">
        <v>96.5</v>
      </c>
      <c r="G223" s="7" t="s">
        <v>683</v>
      </c>
      <c r="H223" s="7">
        <v>75</v>
      </c>
      <c r="I223" s="7" t="s">
        <v>684</v>
      </c>
      <c r="J223" s="7">
        <v>75</v>
      </c>
      <c r="K223" s="7" t="s">
        <v>56</v>
      </c>
      <c r="L223" s="7">
        <v>363.36997153160974</v>
      </c>
      <c r="M223" s="7" t="s">
        <v>555</v>
      </c>
      <c r="N223" s="7">
        <v>75</v>
      </c>
      <c r="O223" s="7" t="s">
        <v>56</v>
      </c>
      <c r="P223" s="8">
        <v>363.36997153160974</v>
      </c>
      <c r="V223" s="13">
        <v>48</v>
      </c>
    </row>
    <row r="224" spans="1:22">
      <c r="A224" s="7" t="s">
        <v>685</v>
      </c>
      <c r="B224" s="9" t="s">
        <v>686</v>
      </c>
      <c r="C224" s="7">
        <v>75</v>
      </c>
      <c r="D224" s="7">
        <v>12.7</v>
      </c>
      <c r="E224" s="7">
        <v>48.5</v>
      </c>
      <c r="F224" s="7">
        <v>96.5</v>
      </c>
      <c r="G224" s="7" t="s">
        <v>687</v>
      </c>
      <c r="H224" s="7">
        <v>75</v>
      </c>
      <c r="I224" s="7" t="s">
        <v>585</v>
      </c>
      <c r="J224" s="7">
        <v>270</v>
      </c>
      <c r="K224" s="7" t="s">
        <v>244</v>
      </c>
      <c r="L224" s="7">
        <v>325.16309477063402</v>
      </c>
      <c r="M224" s="7" t="s">
        <v>555</v>
      </c>
      <c r="N224" s="7">
        <v>75</v>
      </c>
      <c r="O224" s="7" t="s">
        <v>56</v>
      </c>
      <c r="P224" s="8">
        <v>357.67940424769745</v>
      </c>
      <c r="V224" s="13">
        <v>48</v>
      </c>
    </row>
    <row r="225" spans="1:22">
      <c r="A225" s="7" t="s">
        <v>688</v>
      </c>
      <c r="B225" s="9" t="s">
        <v>689</v>
      </c>
      <c r="C225" s="7">
        <v>75</v>
      </c>
      <c r="D225" s="7">
        <v>12.7</v>
      </c>
      <c r="E225" s="7">
        <v>48.5</v>
      </c>
      <c r="F225" s="7">
        <v>96.5</v>
      </c>
      <c r="G225" s="7" t="s">
        <v>687</v>
      </c>
      <c r="H225" s="7">
        <v>75</v>
      </c>
      <c r="I225" s="7" t="s">
        <v>566</v>
      </c>
      <c r="J225" s="7">
        <v>270</v>
      </c>
      <c r="K225" s="7" t="s">
        <v>244</v>
      </c>
      <c r="L225" s="7">
        <v>325.16309477063402</v>
      </c>
      <c r="M225" s="7" t="s">
        <v>567</v>
      </c>
      <c r="N225" s="7">
        <v>270</v>
      </c>
      <c r="O225" s="7" t="s">
        <v>244</v>
      </c>
      <c r="P225" s="8">
        <v>325.16309477063402</v>
      </c>
      <c r="V225" s="13">
        <v>48</v>
      </c>
    </row>
    <row r="226" spans="1:22">
      <c r="A226" s="7" t="s">
        <v>690</v>
      </c>
      <c r="B226" s="9" t="s">
        <v>691</v>
      </c>
      <c r="C226" s="7">
        <v>50</v>
      </c>
      <c r="D226" s="7">
        <v>18</v>
      </c>
      <c r="E226" s="7">
        <v>48.5</v>
      </c>
      <c r="F226" s="7">
        <v>96.5</v>
      </c>
      <c r="G226" s="7" t="s">
        <v>205</v>
      </c>
      <c r="H226" s="7">
        <v>50</v>
      </c>
      <c r="I226" s="7" t="s">
        <v>692</v>
      </c>
      <c r="J226" s="7">
        <v>50</v>
      </c>
      <c r="K226" s="7" t="s">
        <v>56</v>
      </c>
      <c r="L226" s="7">
        <v>363.36997153160974</v>
      </c>
      <c r="M226" s="7" t="s">
        <v>693</v>
      </c>
      <c r="N226" s="7">
        <v>50</v>
      </c>
      <c r="O226" s="7" t="s">
        <v>56</v>
      </c>
      <c r="P226" s="8">
        <v>363.36997153160974</v>
      </c>
      <c r="V226" s="13">
        <v>48</v>
      </c>
    </row>
    <row r="227" spans="1:22">
      <c r="A227" s="7" t="s">
        <v>694</v>
      </c>
      <c r="B227" s="9" t="s">
        <v>695</v>
      </c>
      <c r="C227" s="7">
        <v>50</v>
      </c>
      <c r="D227" s="7">
        <v>19</v>
      </c>
      <c r="E227" s="7">
        <v>48.5</v>
      </c>
      <c r="F227" s="7">
        <v>96.5</v>
      </c>
      <c r="G227" s="7" t="s">
        <v>353</v>
      </c>
      <c r="H227" s="7">
        <v>50</v>
      </c>
      <c r="I227" s="7" t="s">
        <v>575</v>
      </c>
      <c r="J227" s="7">
        <v>50</v>
      </c>
      <c r="K227" s="7" t="s">
        <v>56</v>
      </c>
      <c r="L227" s="7">
        <v>363.36997153160974</v>
      </c>
      <c r="M227" s="7" t="s">
        <v>576</v>
      </c>
      <c r="N227" s="7">
        <v>50</v>
      </c>
      <c r="O227" s="7" t="s">
        <v>56</v>
      </c>
      <c r="P227" s="8">
        <v>363.36997153160974</v>
      </c>
      <c r="V227" s="13">
        <v>48</v>
      </c>
    </row>
    <row r="228" spans="1:22">
      <c r="A228" s="7" t="s">
        <v>696</v>
      </c>
      <c r="B228" s="9" t="s">
        <v>697</v>
      </c>
      <c r="C228" s="7">
        <v>50</v>
      </c>
      <c r="D228" s="7">
        <v>19</v>
      </c>
      <c r="E228" s="7">
        <v>48.5</v>
      </c>
      <c r="F228" s="7">
        <v>96.5</v>
      </c>
      <c r="G228" s="7" t="s">
        <v>139</v>
      </c>
      <c r="H228" s="7">
        <v>50</v>
      </c>
      <c r="I228" s="7" t="s">
        <v>575</v>
      </c>
      <c r="J228" s="7">
        <v>50</v>
      </c>
      <c r="K228" s="7" t="s">
        <v>56</v>
      </c>
      <c r="L228" s="7">
        <v>357.67940424769745</v>
      </c>
      <c r="M228" s="7" t="s">
        <v>576</v>
      </c>
      <c r="N228" s="7">
        <v>50</v>
      </c>
      <c r="O228" s="7" t="s">
        <v>56</v>
      </c>
      <c r="P228" s="8">
        <v>357.67940424769745</v>
      </c>
      <c r="V228" s="13">
        <v>48</v>
      </c>
    </row>
    <row r="229" spans="1:22">
      <c r="A229" s="7" t="s">
        <v>698</v>
      </c>
      <c r="B229" s="9" t="s">
        <v>699</v>
      </c>
      <c r="C229" s="7">
        <v>45</v>
      </c>
      <c r="D229" s="7">
        <v>19</v>
      </c>
      <c r="E229" s="7">
        <v>48.5</v>
      </c>
      <c r="F229" s="7">
        <v>120.5</v>
      </c>
      <c r="G229" s="7" t="s">
        <v>700</v>
      </c>
      <c r="H229" s="7">
        <v>45</v>
      </c>
      <c r="I229" s="7" t="s">
        <v>656</v>
      </c>
      <c r="J229" s="7">
        <v>45</v>
      </c>
      <c r="K229" s="7" t="s">
        <v>56</v>
      </c>
      <c r="L229" s="7">
        <v>446.36989273978548</v>
      </c>
      <c r="M229" s="7" t="s">
        <v>576</v>
      </c>
      <c r="N229" s="7">
        <v>45</v>
      </c>
      <c r="O229" s="7" t="s">
        <v>56</v>
      </c>
      <c r="P229" s="8">
        <v>446.36989273978548</v>
      </c>
      <c r="V229" s="13">
        <v>48</v>
      </c>
    </row>
    <row r="230" spans="1:22">
      <c r="A230" s="7" t="s">
        <v>701</v>
      </c>
      <c r="B230" s="9" t="s">
        <v>702</v>
      </c>
      <c r="C230" s="7">
        <v>50</v>
      </c>
      <c r="D230" s="7">
        <v>19</v>
      </c>
      <c r="E230" s="7">
        <v>48.5</v>
      </c>
      <c r="F230" s="7">
        <v>96.5</v>
      </c>
      <c r="G230" s="7" t="s">
        <v>139</v>
      </c>
      <c r="H230" s="7">
        <v>50</v>
      </c>
      <c r="I230" s="7" t="s">
        <v>671</v>
      </c>
      <c r="J230" s="7">
        <v>50</v>
      </c>
      <c r="K230" s="7" t="s">
        <v>56</v>
      </c>
      <c r="L230" s="7">
        <v>357.67940424769745</v>
      </c>
      <c r="M230" s="7" t="s">
        <v>555</v>
      </c>
      <c r="N230" s="7">
        <v>50</v>
      </c>
      <c r="O230" s="7" t="s">
        <v>56</v>
      </c>
      <c r="P230" s="8">
        <v>357.67940424769745</v>
      </c>
      <c r="V230" s="13">
        <v>48</v>
      </c>
    </row>
    <row r="231" spans="1:22">
      <c r="A231" s="7" t="s">
        <v>703</v>
      </c>
      <c r="B231" s="9" t="s">
        <v>704</v>
      </c>
      <c r="C231" s="7">
        <v>50</v>
      </c>
      <c r="D231" s="7">
        <v>19</v>
      </c>
      <c r="E231" s="7">
        <v>48.5</v>
      </c>
      <c r="F231" s="7">
        <v>96.5</v>
      </c>
      <c r="G231" s="7" t="s">
        <v>705</v>
      </c>
      <c r="H231" s="7">
        <v>50</v>
      </c>
      <c r="I231" s="7" t="s">
        <v>575</v>
      </c>
      <c r="J231" s="7">
        <v>50</v>
      </c>
      <c r="K231" s="7" t="s">
        <v>56</v>
      </c>
      <c r="L231" s="7">
        <v>363.36997153160974</v>
      </c>
      <c r="M231" s="7" t="s">
        <v>576</v>
      </c>
      <c r="N231" s="7">
        <v>50</v>
      </c>
      <c r="O231" s="7" t="s">
        <v>56</v>
      </c>
      <c r="P231" s="8">
        <v>363.36997153160974</v>
      </c>
      <c r="V231" s="13">
        <v>48</v>
      </c>
    </row>
    <row r="232" spans="1:22">
      <c r="A232" s="7" t="s">
        <v>706</v>
      </c>
      <c r="B232" s="9" t="s">
        <v>707</v>
      </c>
      <c r="C232" s="7">
        <v>50</v>
      </c>
      <c r="D232" s="7">
        <v>19</v>
      </c>
      <c r="E232" s="7">
        <v>48.5</v>
      </c>
      <c r="F232" s="7">
        <v>96.5</v>
      </c>
      <c r="G232" s="7" t="s">
        <v>705</v>
      </c>
      <c r="H232" s="7">
        <v>50</v>
      </c>
      <c r="I232" s="7" t="s">
        <v>554</v>
      </c>
      <c r="J232" s="7">
        <v>50</v>
      </c>
      <c r="K232" s="7" t="s">
        <v>56</v>
      </c>
      <c r="L232" s="7">
        <v>363.36997153160974</v>
      </c>
      <c r="M232" s="7" t="s">
        <v>555</v>
      </c>
      <c r="N232" s="7">
        <v>50</v>
      </c>
      <c r="O232" s="7" t="s">
        <v>56</v>
      </c>
      <c r="P232" s="8">
        <v>363.36997153160974</v>
      </c>
      <c r="V232" s="13">
        <v>48</v>
      </c>
    </row>
    <row r="233" spans="1:22">
      <c r="A233" s="7" t="s">
        <v>708</v>
      </c>
      <c r="B233" s="9" t="s">
        <v>709</v>
      </c>
      <c r="C233" s="7">
        <v>50</v>
      </c>
      <c r="D233" s="7">
        <v>19</v>
      </c>
      <c r="E233" s="7">
        <v>49</v>
      </c>
      <c r="F233" s="7">
        <v>97</v>
      </c>
      <c r="G233" s="7" t="s">
        <v>62</v>
      </c>
      <c r="H233" s="7">
        <v>50</v>
      </c>
      <c r="I233" s="7" t="s">
        <v>671</v>
      </c>
      <c r="J233" s="7">
        <v>50</v>
      </c>
      <c r="K233" s="7" t="s">
        <v>56</v>
      </c>
      <c r="L233" s="7">
        <v>361.17655568644466</v>
      </c>
      <c r="M233" s="7" t="s">
        <v>555</v>
      </c>
      <c r="N233" s="7">
        <v>50</v>
      </c>
      <c r="O233" s="7" t="s">
        <v>56</v>
      </c>
      <c r="P233" s="8">
        <v>361.17655568644466</v>
      </c>
      <c r="V233" s="13">
        <v>48</v>
      </c>
    </row>
    <row r="234" spans="1:22">
      <c r="A234" s="7" t="s">
        <v>710</v>
      </c>
      <c r="B234" s="9" t="s">
        <v>711</v>
      </c>
      <c r="C234" s="7">
        <v>50</v>
      </c>
      <c r="D234" s="7">
        <v>19</v>
      </c>
      <c r="E234" s="7">
        <v>48.5</v>
      </c>
      <c r="F234" s="7">
        <v>120.5</v>
      </c>
      <c r="G234" s="7" t="s">
        <v>444</v>
      </c>
      <c r="H234" s="7">
        <v>50</v>
      </c>
      <c r="I234" s="7" t="s">
        <v>663</v>
      </c>
      <c r="J234" s="7">
        <v>50</v>
      </c>
      <c r="K234" s="7" t="s">
        <v>56</v>
      </c>
      <c r="L234" s="7">
        <v>449.41521827488089</v>
      </c>
      <c r="M234" s="7" t="s">
        <v>633</v>
      </c>
      <c r="N234" s="7">
        <v>50</v>
      </c>
      <c r="O234" s="7" t="s">
        <v>56</v>
      </c>
      <c r="P234" s="8">
        <v>449.41521827488089</v>
      </c>
      <c r="V234" s="13">
        <v>48</v>
      </c>
    </row>
    <row r="235" spans="1:22">
      <c r="A235" s="7" t="s">
        <v>712</v>
      </c>
      <c r="B235" s="9" t="s">
        <v>713</v>
      </c>
      <c r="C235" s="7">
        <v>50</v>
      </c>
      <c r="D235" s="7">
        <v>19</v>
      </c>
      <c r="E235" s="7">
        <v>49</v>
      </c>
      <c r="F235" s="7">
        <v>97</v>
      </c>
      <c r="G235" s="7" t="s">
        <v>62</v>
      </c>
      <c r="H235" s="7">
        <v>50</v>
      </c>
      <c r="I235" s="7" t="s">
        <v>671</v>
      </c>
      <c r="J235" s="7">
        <v>50</v>
      </c>
      <c r="K235" s="7" t="s">
        <v>56</v>
      </c>
      <c r="L235" s="7">
        <v>361.17655568644466</v>
      </c>
      <c r="M235" s="7" t="s">
        <v>555</v>
      </c>
      <c r="N235" s="7">
        <v>50</v>
      </c>
      <c r="O235" s="7" t="s">
        <v>56</v>
      </c>
      <c r="P235" s="8">
        <v>361.17655568644466</v>
      </c>
      <c r="V235" s="13">
        <v>48</v>
      </c>
    </row>
    <row r="236" spans="1:22">
      <c r="A236" s="7" t="s">
        <v>714</v>
      </c>
      <c r="B236" s="9" t="s">
        <v>715</v>
      </c>
      <c r="C236" s="7">
        <v>200</v>
      </c>
      <c r="D236" s="7">
        <v>5</v>
      </c>
      <c r="E236" s="7">
        <v>1230</v>
      </c>
      <c r="F236" s="7">
        <v>2450</v>
      </c>
      <c r="G236" s="7" t="s">
        <v>295</v>
      </c>
      <c r="H236" s="7">
        <v>200</v>
      </c>
      <c r="I236" s="7" t="s">
        <v>231</v>
      </c>
      <c r="J236" s="7">
        <v>200</v>
      </c>
      <c r="K236" s="7" t="s">
        <v>232</v>
      </c>
      <c r="L236" s="7">
        <v>330.33633775600885</v>
      </c>
      <c r="M236" s="7" t="s">
        <v>231</v>
      </c>
      <c r="N236" s="7">
        <v>200</v>
      </c>
      <c r="O236" s="7" t="s">
        <v>232</v>
      </c>
      <c r="P236" s="8">
        <v>330.33633775600885</v>
      </c>
      <c r="V236" s="13">
        <v>48</v>
      </c>
    </row>
    <row r="237" spans="1:22">
      <c r="A237" s="7" t="s">
        <v>716</v>
      </c>
      <c r="B237" s="9" t="s">
        <v>717</v>
      </c>
      <c r="C237" s="7">
        <v>50</v>
      </c>
      <c r="D237" s="7">
        <v>18</v>
      </c>
      <c r="E237" s="7">
        <v>1230</v>
      </c>
      <c r="F237" s="7">
        <v>2450</v>
      </c>
      <c r="G237" s="7" t="s">
        <v>205</v>
      </c>
      <c r="H237" s="7">
        <v>50</v>
      </c>
      <c r="I237" s="7" t="s">
        <v>231</v>
      </c>
      <c r="J237" s="7">
        <v>50</v>
      </c>
      <c r="K237" s="7" t="s">
        <v>232</v>
      </c>
      <c r="L237" s="7">
        <v>330.33633775600885</v>
      </c>
      <c r="M237" s="7" t="s">
        <v>231</v>
      </c>
      <c r="N237" s="7">
        <v>50</v>
      </c>
      <c r="O237" s="7" t="s">
        <v>232</v>
      </c>
      <c r="P237" s="8">
        <v>330.33633775600885</v>
      </c>
      <c r="V237" s="13">
        <v>48</v>
      </c>
    </row>
    <row r="238" spans="1:22">
      <c r="A238" s="7" t="s">
        <v>718</v>
      </c>
      <c r="B238" s="9" t="s">
        <v>719</v>
      </c>
      <c r="C238" s="7">
        <v>50</v>
      </c>
      <c r="D238" s="7">
        <v>18</v>
      </c>
      <c r="E238" s="7">
        <v>1230</v>
      </c>
      <c r="F238" s="7">
        <v>2450</v>
      </c>
      <c r="G238" s="7" t="s">
        <v>205</v>
      </c>
      <c r="H238" s="7">
        <v>50</v>
      </c>
      <c r="I238" s="7" t="s">
        <v>720</v>
      </c>
      <c r="J238" s="7">
        <v>50</v>
      </c>
      <c r="K238" s="7" t="s">
        <v>56</v>
      </c>
      <c r="L238" s="7">
        <v>363.36997153160974</v>
      </c>
      <c r="M238" s="7" t="s">
        <v>720</v>
      </c>
      <c r="N238" s="7">
        <v>50</v>
      </c>
      <c r="O238" s="7" t="s">
        <v>56</v>
      </c>
      <c r="P238" s="8">
        <v>363.36997153160974</v>
      </c>
      <c r="V238" s="13">
        <v>48</v>
      </c>
    </row>
    <row r="239" spans="1:22">
      <c r="A239" s="7" t="s">
        <v>721</v>
      </c>
      <c r="B239" s="9" t="s">
        <v>722</v>
      </c>
      <c r="C239" s="7">
        <v>50</v>
      </c>
      <c r="D239" s="7">
        <v>18</v>
      </c>
      <c r="E239" s="7">
        <v>48.5</v>
      </c>
      <c r="F239" s="7">
        <v>96.5</v>
      </c>
      <c r="G239" s="7" t="s">
        <v>205</v>
      </c>
      <c r="H239" s="7">
        <v>50</v>
      </c>
      <c r="I239" s="7" t="s">
        <v>274</v>
      </c>
      <c r="J239" s="7">
        <v>50</v>
      </c>
      <c r="K239" s="7" t="s">
        <v>56</v>
      </c>
      <c r="L239" s="7">
        <v>363.36997153160974</v>
      </c>
      <c r="M239" s="7" t="s">
        <v>270</v>
      </c>
      <c r="N239" s="7">
        <v>180</v>
      </c>
      <c r="O239" s="7" t="s">
        <v>102</v>
      </c>
      <c r="P239" s="8">
        <v>330.33633775600885</v>
      </c>
      <c r="V239" s="13">
        <v>48</v>
      </c>
    </row>
    <row r="240" spans="1:22">
      <c r="A240" s="7" t="s">
        <v>723</v>
      </c>
      <c r="B240" s="9" t="s">
        <v>724</v>
      </c>
      <c r="C240" s="7">
        <v>240</v>
      </c>
      <c r="D240" s="7">
        <v>2.7</v>
      </c>
      <c r="E240" s="7">
        <v>36.5</v>
      </c>
      <c r="F240" s="7">
        <v>84.5</v>
      </c>
      <c r="G240" s="7" t="s">
        <v>725</v>
      </c>
      <c r="H240" s="7">
        <v>240</v>
      </c>
      <c r="I240" s="7" t="s">
        <v>726</v>
      </c>
      <c r="J240" s="7">
        <v>240</v>
      </c>
      <c r="K240" s="7" t="s">
        <v>56</v>
      </c>
      <c r="L240" s="7">
        <v>230.08355001085002</v>
      </c>
      <c r="P240" s="8"/>
      <c r="V240" s="7">
        <v>37</v>
      </c>
    </row>
    <row r="241" spans="1:22">
      <c r="A241" s="7" t="s">
        <v>727</v>
      </c>
      <c r="B241" s="9" t="s">
        <v>728</v>
      </c>
      <c r="C241" s="7">
        <v>240</v>
      </c>
      <c r="D241" s="7">
        <v>2.7</v>
      </c>
      <c r="E241" s="7">
        <v>36.5</v>
      </c>
      <c r="F241" s="7">
        <v>96.5</v>
      </c>
      <c r="G241" s="7" t="s">
        <v>729</v>
      </c>
      <c r="H241" s="7">
        <v>240</v>
      </c>
      <c r="I241" s="7" t="s">
        <v>730</v>
      </c>
      <c r="J241" s="7">
        <v>240</v>
      </c>
      <c r="K241" s="7" t="s">
        <v>56</v>
      </c>
      <c r="L241" s="7">
        <v>263.01392290284582</v>
      </c>
      <c r="P241" s="8"/>
      <c r="V241" s="7">
        <v>37</v>
      </c>
    </row>
    <row r="242" spans="1:22">
      <c r="A242" s="7" t="s">
        <v>731</v>
      </c>
      <c r="B242" s="9" t="s">
        <v>732</v>
      </c>
      <c r="C242" s="7">
        <v>240</v>
      </c>
      <c r="D242" s="7">
        <v>2.7</v>
      </c>
      <c r="E242" s="7">
        <v>36.5</v>
      </c>
      <c r="F242" s="7">
        <v>108.5</v>
      </c>
      <c r="G242" s="7" t="s">
        <v>733</v>
      </c>
      <c r="H242" s="7">
        <v>240</v>
      </c>
      <c r="I242" s="7" t="s">
        <v>734</v>
      </c>
      <c r="J242" s="7">
        <v>240</v>
      </c>
      <c r="K242" s="7" t="s">
        <v>56</v>
      </c>
      <c r="L242" s="7">
        <v>295.51523556172111</v>
      </c>
      <c r="P242" s="8"/>
      <c r="V242" s="7">
        <v>37</v>
      </c>
    </row>
    <row r="243" spans="1:22">
      <c r="A243" s="7" t="s">
        <v>735</v>
      </c>
      <c r="B243" s="9" t="s">
        <v>736</v>
      </c>
      <c r="C243" s="7">
        <v>240</v>
      </c>
      <c r="D243" s="7">
        <v>2.7</v>
      </c>
      <c r="E243" s="7">
        <v>48.5</v>
      </c>
      <c r="F243" s="7">
        <v>96.5</v>
      </c>
      <c r="G243" s="7" t="s">
        <v>737</v>
      </c>
      <c r="H243" s="7">
        <v>240</v>
      </c>
      <c r="I243" s="7" t="s">
        <v>738</v>
      </c>
      <c r="J243" s="7">
        <v>240</v>
      </c>
      <c r="K243" s="7" t="s">
        <v>56</v>
      </c>
      <c r="L243" s="7">
        <v>349.55032687843158</v>
      </c>
      <c r="P243" s="8"/>
      <c r="V243" s="7">
        <v>37</v>
      </c>
    </row>
    <row r="244" spans="1:22">
      <c r="A244" s="7" t="s">
        <v>739</v>
      </c>
      <c r="B244" s="9" t="s">
        <v>740</v>
      </c>
      <c r="C244" s="7">
        <v>240</v>
      </c>
      <c r="D244" s="7">
        <v>2.7</v>
      </c>
      <c r="E244" s="7">
        <v>48.5</v>
      </c>
      <c r="F244" s="7">
        <v>96.5</v>
      </c>
      <c r="G244" s="7" t="s">
        <v>737</v>
      </c>
      <c r="H244" s="7">
        <v>240</v>
      </c>
      <c r="I244" s="7" t="s">
        <v>741</v>
      </c>
      <c r="J244" s="7">
        <v>240</v>
      </c>
      <c r="K244" s="7" t="s">
        <v>56</v>
      </c>
      <c r="L244" s="7">
        <v>349.55032687843158</v>
      </c>
      <c r="P244" s="8"/>
      <c r="V244" s="7">
        <v>37</v>
      </c>
    </row>
    <row r="245" spans="1:22">
      <c r="A245" s="7" t="s">
        <v>742</v>
      </c>
      <c r="B245" s="9" t="s">
        <v>743</v>
      </c>
      <c r="C245" s="7">
        <v>240</v>
      </c>
      <c r="D245" s="7">
        <v>2.7</v>
      </c>
      <c r="E245" s="7">
        <v>24.5</v>
      </c>
      <c r="F245" s="7">
        <v>80.5</v>
      </c>
      <c r="G245" s="7" t="s">
        <v>744</v>
      </c>
      <c r="H245" s="7">
        <v>240</v>
      </c>
      <c r="I245" s="7" t="s">
        <v>745</v>
      </c>
      <c r="J245" s="7">
        <v>240</v>
      </c>
      <c r="K245" s="7" t="s">
        <v>232</v>
      </c>
      <c r="L245" s="7">
        <v>126.23994866045285</v>
      </c>
      <c r="P245" s="8"/>
      <c r="V245" s="7">
        <v>37</v>
      </c>
    </row>
    <row r="246" spans="1:22">
      <c r="A246" s="7" t="s">
        <v>746</v>
      </c>
      <c r="B246" s="9" t="s">
        <v>747</v>
      </c>
      <c r="C246" s="7">
        <v>240</v>
      </c>
      <c r="D246" s="7">
        <v>2.7</v>
      </c>
      <c r="E246" s="7">
        <v>28.5</v>
      </c>
      <c r="F246" s="7">
        <v>80.5</v>
      </c>
      <c r="G246" s="7" t="s">
        <v>748</v>
      </c>
      <c r="H246" s="7">
        <v>240</v>
      </c>
      <c r="I246" s="7" t="s">
        <v>749</v>
      </c>
      <c r="J246" s="7">
        <v>240</v>
      </c>
      <c r="K246" s="7" t="s">
        <v>232</v>
      </c>
      <c r="L246" s="7">
        <v>147.41568198414174</v>
      </c>
      <c r="P246" s="8"/>
      <c r="V246" s="7">
        <v>37</v>
      </c>
    </row>
    <row r="247" spans="1:22">
      <c r="A247" s="7" t="s">
        <v>750</v>
      </c>
      <c r="B247" s="9" t="s">
        <v>751</v>
      </c>
      <c r="C247" s="7">
        <v>240</v>
      </c>
      <c r="D247" s="7">
        <v>2.7</v>
      </c>
      <c r="E247" s="7">
        <v>30.5</v>
      </c>
      <c r="F247" s="7">
        <v>80.5</v>
      </c>
      <c r="G247" s="7" t="s">
        <v>752</v>
      </c>
      <c r="H247" s="7">
        <v>240</v>
      </c>
      <c r="I247" s="7" t="s">
        <v>753</v>
      </c>
      <c r="J247" s="7">
        <v>240</v>
      </c>
      <c r="K247" s="7" t="s">
        <v>232</v>
      </c>
      <c r="L247" s="7">
        <v>157.79993582556611</v>
      </c>
      <c r="P247" s="8"/>
      <c r="V247" s="7">
        <v>37</v>
      </c>
    </row>
    <row r="248" spans="1:22">
      <c r="A248" s="7" t="s">
        <v>754</v>
      </c>
      <c r="B248" s="9" t="s">
        <v>755</v>
      </c>
      <c r="C248" s="7">
        <v>240</v>
      </c>
      <c r="D248" s="7">
        <v>2.7</v>
      </c>
      <c r="E248" s="7">
        <v>32.5</v>
      </c>
      <c r="F248" s="7">
        <v>80.5</v>
      </c>
      <c r="G248" s="7" t="s">
        <v>756</v>
      </c>
      <c r="H248" s="7">
        <v>240</v>
      </c>
      <c r="I248" s="7" t="s">
        <v>757</v>
      </c>
      <c r="J248" s="7">
        <v>240</v>
      </c>
      <c r="K248" s="7" t="s">
        <v>232</v>
      </c>
      <c r="L248" s="7">
        <v>168.18418966699042</v>
      </c>
      <c r="P248" s="8"/>
      <c r="V248" s="7">
        <v>37</v>
      </c>
    </row>
    <row r="249" spans="1:22">
      <c r="A249" s="7" t="s">
        <v>758</v>
      </c>
      <c r="B249" s="9" t="s">
        <v>759</v>
      </c>
      <c r="C249" s="7">
        <v>240</v>
      </c>
      <c r="D249" s="7">
        <v>2.7</v>
      </c>
      <c r="E249" s="7">
        <v>36.5</v>
      </c>
      <c r="F249" s="7">
        <v>80.5</v>
      </c>
      <c r="G249" s="7" t="s">
        <v>760</v>
      </c>
      <c r="H249" s="7">
        <v>240</v>
      </c>
      <c r="I249" s="7" t="s">
        <v>761</v>
      </c>
      <c r="J249" s="7">
        <v>240</v>
      </c>
      <c r="K249" s="7" t="s">
        <v>232</v>
      </c>
      <c r="L249" s="7">
        <v>188.74908452941904</v>
      </c>
      <c r="P249" s="8"/>
      <c r="V249" s="7">
        <v>37</v>
      </c>
    </row>
    <row r="250" spans="1:22">
      <c r="A250" s="7" t="s">
        <v>762</v>
      </c>
      <c r="B250" s="9" t="s">
        <v>763</v>
      </c>
      <c r="C250" s="7">
        <v>240</v>
      </c>
      <c r="D250" s="7">
        <v>2.7</v>
      </c>
      <c r="E250" s="7">
        <v>36.5</v>
      </c>
      <c r="F250" s="7">
        <v>84.5</v>
      </c>
      <c r="G250" s="7" t="s">
        <v>725</v>
      </c>
      <c r="H250" s="7">
        <v>240</v>
      </c>
      <c r="I250" s="7" t="s">
        <v>764</v>
      </c>
      <c r="J250" s="7">
        <v>240</v>
      </c>
      <c r="K250" s="7" t="s">
        <v>232</v>
      </c>
      <c r="L250" s="7">
        <v>197.97886861398723</v>
      </c>
      <c r="P250" s="8"/>
      <c r="V250" s="7">
        <v>37</v>
      </c>
    </row>
    <row r="251" spans="1:22">
      <c r="A251" s="7" t="s">
        <v>765</v>
      </c>
      <c r="B251" s="9" t="s">
        <v>766</v>
      </c>
      <c r="C251" s="7">
        <v>240</v>
      </c>
      <c r="D251" s="7">
        <v>2.7</v>
      </c>
      <c r="E251" s="7">
        <v>36.5</v>
      </c>
      <c r="F251" s="7">
        <v>96.5</v>
      </c>
      <c r="G251" s="7" t="s">
        <v>729</v>
      </c>
      <c r="H251" s="7">
        <v>240</v>
      </c>
      <c r="I251" s="7" t="s">
        <v>767</v>
      </c>
      <c r="J251" s="7">
        <v>240</v>
      </c>
      <c r="K251" s="7" t="s">
        <v>232</v>
      </c>
      <c r="L251" s="7">
        <v>226.31430575361151</v>
      </c>
      <c r="P251" s="8"/>
      <c r="V251" s="7">
        <v>37</v>
      </c>
    </row>
    <row r="252" spans="1:22">
      <c r="A252" s="7" t="s">
        <v>768</v>
      </c>
      <c r="B252" s="9" t="s">
        <v>769</v>
      </c>
      <c r="C252" s="7">
        <v>240</v>
      </c>
      <c r="D252" s="7">
        <v>2.7</v>
      </c>
      <c r="E252" s="7">
        <v>48.5</v>
      </c>
      <c r="F252" s="7">
        <v>96.5</v>
      </c>
      <c r="G252" s="7" t="s">
        <v>737</v>
      </c>
      <c r="H252" s="7">
        <v>240</v>
      </c>
      <c r="I252" s="7" t="s">
        <v>770</v>
      </c>
      <c r="J252" s="7">
        <v>240</v>
      </c>
      <c r="K252" s="7" t="s">
        <v>232</v>
      </c>
      <c r="L252" s="7">
        <v>300.77586266283646</v>
      </c>
      <c r="P252" s="8"/>
      <c r="V252" s="7">
        <v>37</v>
      </c>
    </row>
    <row r="253" spans="1:22">
      <c r="A253" s="7" t="s">
        <v>771</v>
      </c>
      <c r="B253" s="9" t="s">
        <v>772</v>
      </c>
      <c r="C253" s="7">
        <v>240</v>
      </c>
      <c r="D253" s="7">
        <v>2.7</v>
      </c>
      <c r="E253" s="7">
        <v>36.5</v>
      </c>
      <c r="F253" s="7">
        <v>80.5</v>
      </c>
      <c r="G253" s="7" t="s">
        <v>760</v>
      </c>
      <c r="H253" s="7">
        <v>240</v>
      </c>
      <c r="I253" s="7" t="s">
        <v>773</v>
      </c>
      <c r="J253" s="7">
        <v>240</v>
      </c>
      <c r="K253" s="7" t="s">
        <v>359</v>
      </c>
      <c r="L253" s="7">
        <v>234.66102400954799</v>
      </c>
      <c r="P253" s="8"/>
      <c r="V253" s="7">
        <v>37</v>
      </c>
    </row>
    <row r="254" spans="1:22">
      <c r="A254" s="7" t="s">
        <v>774</v>
      </c>
      <c r="B254" s="9" t="s">
        <v>775</v>
      </c>
      <c r="C254" s="7">
        <v>240</v>
      </c>
      <c r="D254" s="7">
        <v>2.7</v>
      </c>
      <c r="E254" s="7">
        <v>36.5</v>
      </c>
      <c r="F254" s="7">
        <v>84.5</v>
      </c>
      <c r="G254" s="7" t="s">
        <v>725</v>
      </c>
      <c r="H254" s="7">
        <v>240</v>
      </c>
      <c r="I254" s="7" t="s">
        <v>776</v>
      </c>
      <c r="J254" s="7">
        <v>240</v>
      </c>
      <c r="K254" s="7" t="s">
        <v>359</v>
      </c>
      <c r="L254" s="7">
        <v>246.1358907092814</v>
      </c>
      <c r="P254" s="8"/>
      <c r="V254" s="7">
        <v>37</v>
      </c>
    </row>
    <row r="255" spans="1:22">
      <c r="A255" s="7" t="s">
        <v>777</v>
      </c>
      <c r="B255" s="9" t="s">
        <v>778</v>
      </c>
      <c r="C255" s="7">
        <v>240</v>
      </c>
      <c r="D255" s="7">
        <v>2.7</v>
      </c>
      <c r="E255" s="7">
        <v>36.5</v>
      </c>
      <c r="F255" s="7">
        <v>96.5</v>
      </c>
      <c r="G255" s="7" t="s">
        <v>729</v>
      </c>
      <c r="H255" s="7">
        <v>240</v>
      </c>
      <c r="I255" s="7" t="s">
        <v>779</v>
      </c>
      <c r="J255" s="7">
        <v>240</v>
      </c>
      <c r="K255" s="7" t="s">
        <v>359</v>
      </c>
      <c r="L255" s="7">
        <v>281.36373147746298</v>
      </c>
      <c r="P255" s="8"/>
      <c r="V255" s="7">
        <v>37</v>
      </c>
    </row>
    <row r="256" spans="1:22">
      <c r="A256" s="7" t="s">
        <v>780</v>
      </c>
      <c r="B256" s="9" t="s">
        <v>781</v>
      </c>
      <c r="C256" s="7">
        <v>240</v>
      </c>
      <c r="D256" s="7">
        <v>2.7</v>
      </c>
      <c r="E256" s="7">
        <v>36.5</v>
      </c>
      <c r="F256" s="7">
        <v>108.5</v>
      </c>
      <c r="G256" s="7" t="s">
        <v>733</v>
      </c>
      <c r="H256" s="7">
        <v>240</v>
      </c>
      <c r="I256" s="7" t="s">
        <v>782</v>
      </c>
      <c r="J256" s="7">
        <v>240</v>
      </c>
      <c r="K256" s="7" t="s">
        <v>359</v>
      </c>
      <c r="L256" s="7">
        <v>316.13257757765513</v>
      </c>
      <c r="P256" s="8"/>
      <c r="V256" s="7">
        <v>37</v>
      </c>
    </row>
    <row r="257" spans="1:22">
      <c r="A257" s="7" t="s">
        <v>783</v>
      </c>
      <c r="B257" s="9" t="s">
        <v>784</v>
      </c>
      <c r="C257" s="7">
        <v>240</v>
      </c>
      <c r="D257" s="7">
        <v>2.7</v>
      </c>
      <c r="E257" s="7">
        <v>48.5</v>
      </c>
      <c r="F257" s="7">
        <v>84.5</v>
      </c>
      <c r="G257" s="7" t="s">
        <v>785</v>
      </c>
      <c r="H257" s="7">
        <v>240</v>
      </c>
      <c r="I257" s="7" t="s">
        <v>786</v>
      </c>
      <c r="J257" s="7">
        <v>240</v>
      </c>
      <c r="K257" s="7" t="s">
        <v>359</v>
      </c>
      <c r="L257" s="7">
        <v>327.11911257155845</v>
      </c>
      <c r="P257" s="8"/>
      <c r="V257" s="7">
        <v>37</v>
      </c>
    </row>
    <row r="258" spans="1:22">
      <c r="A258" s="7" t="s">
        <v>787</v>
      </c>
      <c r="B258" s="9" t="s">
        <v>788</v>
      </c>
      <c r="C258" s="7">
        <v>240</v>
      </c>
      <c r="D258" s="7">
        <v>2.7</v>
      </c>
      <c r="E258" s="7">
        <v>48.5</v>
      </c>
      <c r="F258" s="7">
        <v>96.5</v>
      </c>
      <c r="G258" s="7" t="s">
        <v>737</v>
      </c>
      <c r="H258" s="7">
        <v>240</v>
      </c>
      <c r="I258" s="7" t="s">
        <v>789</v>
      </c>
      <c r="J258" s="7">
        <v>240</v>
      </c>
      <c r="K258" s="7" t="s">
        <v>359</v>
      </c>
      <c r="L258" s="7">
        <v>373.93755898622913</v>
      </c>
      <c r="P258" s="8"/>
      <c r="V258" s="7">
        <v>37</v>
      </c>
    </row>
    <row r="259" spans="1:22">
      <c r="A259" s="7" t="s">
        <v>790</v>
      </c>
      <c r="B259" s="9" t="s">
        <v>791</v>
      </c>
      <c r="C259" s="7">
        <v>240</v>
      </c>
      <c r="D259" s="7">
        <v>2.7</v>
      </c>
      <c r="E259" s="7">
        <v>48.5</v>
      </c>
      <c r="F259" s="7">
        <v>108.5</v>
      </c>
      <c r="G259" s="7" t="s">
        <v>792</v>
      </c>
      <c r="H259" s="7">
        <v>240</v>
      </c>
      <c r="I259" s="7" t="s">
        <v>793</v>
      </c>
      <c r="J259" s="7">
        <v>240</v>
      </c>
      <c r="K259" s="7" t="s">
        <v>359</v>
      </c>
      <c r="L259" s="7">
        <v>420.1459930697639</v>
      </c>
      <c r="P259" s="8"/>
      <c r="V259" s="7">
        <v>37</v>
      </c>
    </row>
    <row r="260" spans="1:22">
      <c r="A260" s="7" t="s">
        <v>794</v>
      </c>
      <c r="B260" s="9" t="s">
        <v>795</v>
      </c>
      <c r="C260" s="7">
        <v>240</v>
      </c>
      <c r="D260" s="7">
        <v>2.7</v>
      </c>
      <c r="E260" s="7">
        <v>30.5</v>
      </c>
      <c r="F260" s="7">
        <v>80.5</v>
      </c>
      <c r="G260" s="7" t="s">
        <v>752</v>
      </c>
      <c r="H260" s="7">
        <v>240</v>
      </c>
      <c r="I260" s="7" t="s">
        <v>796</v>
      </c>
      <c r="J260" s="7">
        <v>240</v>
      </c>
      <c r="K260" s="7" t="s">
        <v>359</v>
      </c>
      <c r="L260" s="7">
        <v>170.59452521682823</v>
      </c>
      <c r="P260" s="8"/>
      <c r="V260" s="7">
        <v>37</v>
      </c>
    </row>
    <row r="261" spans="1:22">
      <c r="A261" s="7" t="s">
        <v>797</v>
      </c>
      <c r="B261" s="9" t="s">
        <v>798</v>
      </c>
      <c r="C261" s="7">
        <v>240</v>
      </c>
      <c r="D261" s="7">
        <v>2.7</v>
      </c>
      <c r="E261" s="7">
        <v>32.5</v>
      </c>
      <c r="F261" s="7">
        <v>80.5</v>
      </c>
      <c r="G261" s="7" t="s">
        <v>756</v>
      </c>
      <c r="H261" s="7">
        <v>240</v>
      </c>
      <c r="I261" s="7" t="s">
        <v>799</v>
      </c>
      <c r="J261" s="7">
        <v>240</v>
      </c>
      <c r="K261" s="7" t="s">
        <v>359</v>
      </c>
      <c r="L261" s="7">
        <v>181.82074558593558</v>
      </c>
      <c r="P261" s="8"/>
      <c r="V261" s="7">
        <v>37</v>
      </c>
    </row>
    <row r="262" spans="1:22">
      <c r="A262" s="7" t="s">
        <v>800</v>
      </c>
      <c r="B262" s="9" t="s">
        <v>801</v>
      </c>
      <c r="C262" s="7">
        <v>240</v>
      </c>
      <c r="D262" s="7">
        <v>2.7</v>
      </c>
      <c r="E262" s="7">
        <v>36.5</v>
      </c>
      <c r="F262" s="7">
        <v>80.5</v>
      </c>
      <c r="G262" s="7" t="s">
        <v>760</v>
      </c>
      <c r="H262" s="7">
        <v>240</v>
      </c>
      <c r="I262" s="7" t="s">
        <v>802</v>
      </c>
      <c r="J262" s="7">
        <v>240</v>
      </c>
      <c r="K262" s="7" t="s">
        <v>359</v>
      </c>
      <c r="L262" s="7">
        <v>204.05306435612869</v>
      </c>
      <c r="P262" s="8"/>
      <c r="V262" s="7">
        <v>37</v>
      </c>
    </row>
    <row r="263" spans="1:22">
      <c r="A263" s="7" t="s">
        <v>803</v>
      </c>
      <c r="B263" s="9" t="s">
        <v>804</v>
      </c>
      <c r="C263" s="7">
        <v>240</v>
      </c>
      <c r="D263" s="7">
        <v>2.7</v>
      </c>
      <c r="E263" s="7">
        <v>36.5</v>
      </c>
      <c r="F263" s="7">
        <v>84.5</v>
      </c>
      <c r="G263" s="7" t="s">
        <v>725</v>
      </c>
      <c r="H263" s="7">
        <v>240</v>
      </c>
      <c r="I263" s="7" t="s">
        <v>805</v>
      </c>
      <c r="J263" s="7">
        <v>240</v>
      </c>
      <c r="K263" s="7" t="s">
        <v>359</v>
      </c>
      <c r="L263" s="7">
        <v>214.03120931241861</v>
      </c>
      <c r="P263" s="8"/>
      <c r="V263" s="7">
        <v>37</v>
      </c>
    </row>
    <row r="264" spans="1:22">
      <c r="A264" s="7" t="s">
        <v>806</v>
      </c>
      <c r="B264" s="9" t="s">
        <v>807</v>
      </c>
      <c r="C264" s="7">
        <v>240</v>
      </c>
      <c r="D264" s="7">
        <v>2.7</v>
      </c>
      <c r="E264" s="7">
        <v>36.5</v>
      </c>
      <c r="F264" s="7">
        <v>96.5</v>
      </c>
      <c r="G264" s="7" t="s">
        <v>729</v>
      </c>
      <c r="H264" s="7">
        <v>240</v>
      </c>
      <c r="I264" s="7" t="s">
        <v>808</v>
      </c>
      <c r="J264" s="7">
        <v>240</v>
      </c>
      <c r="K264" s="7" t="s">
        <v>359</v>
      </c>
      <c r="L264" s="7">
        <v>244.66411432822866</v>
      </c>
      <c r="P264" s="8"/>
      <c r="V264" s="7">
        <v>37</v>
      </c>
    </row>
    <row r="265" spans="1:22">
      <c r="A265" s="7" t="s">
        <v>809</v>
      </c>
      <c r="B265" s="9" t="s">
        <v>810</v>
      </c>
      <c r="C265" s="7">
        <v>240</v>
      </c>
      <c r="D265" s="7">
        <v>2.7</v>
      </c>
      <c r="E265" s="7">
        <v>48.5</v>
      </c>
      <c r="F265" s="7">
        <v>96.5</v>
      </c>
      <c r="G265" s="7" t="s">
        <v>737</v>
      </c>
      <c r="H265" s="7">
        <v>240</v>
      </c>
      <c r="I265" s="7" t="s">
        <v>811</v>
      </c>
      <c r="J265" s="7">
        <v>240</v>
      </c>
      <c r="K265" s="7" t="s">
        <v>359</v>
      </c>
      <c r="L265" s="7">
        <v>325.16309477063402</v>
      </c>
      <c r="P265" s="8"/>
      <c r="V265" s="7">
        <v>37</v>
      </c>
    </row>
    <row r="266" spans="1:22">
      <c r="A266" s="7" t="s">
        <v>812</v>
      </c>
      <c r="B266" s="9" t="s">
        <v>813</v>
      </c>
      <c r="C266" s="7">
        <v>240</v>
      </c>
      <c r="D266" s="7">
        <v>2.7</v>
      </c>
      <c r="E266" s="7">
        <v>24.5</v>
      </c>
      <c r="F266" s="7">
        <v>80.5</v>
      </c>
      <c r="G266" s="7" t="s">
        <v>744</v>
      </c>
      <c r="H266" s="7">
        <v>240</v>
      </c>
      <c r="I266" s="7" t="s">
        <v>814</v>
      </c>
      <c r="J266" s="7">
        <v>240</v>
      </c>
      <c r="K266" s="7" t="s">
        <v>359</v>
      </c>
      <c r="L266" s="7">
        <v>136.47562017346254</v>
      </c>
      <c r="P266" s="8"/>
      <c r="V266" s="7">
        <v>37</v>
      </c>
    </row>
    <row r="267" spans="1:22">
      <c r="A267" s="7" t="s">
        <v>815</v>
      </c>
      <c r="B267" s="9" t="s">
        <v>816</v>
      </c>
      <c r="C267" s="7">
        <v>240</v>
      </c>
      <c r="D267" s="7">
        <v>2.7</v>
      </c>
      <c r="E267" s="7">
        <v>24.5</v>
      </c>
      <c r="F267" s="7">
        <v>84.5</v>
      </c>
      <c r="G267" s="7" t="s">
        <v>817</v>
      </c>
      <c r="H267" s="7">
        <v>240</v>
      </c>
      <c r="I267" s="7" t="s">
        <v>818</v>
      </c>
      <c r="J267" s="7">
        <v>240</v>
      </c>
      <c r="K267" s="7" t="s">
        <v>359</v>
      </c>
      <c r="L267" s="7">
        <v>143.14924463182257</v>
      </c>
      <c r="P267" s="8"/>
      <c r="V267" s="7">
        <v>37</v>
      </c>
    </row>
    <row r="268" spans="1:22">
      <c r="A268" s="7" t="s">
        <v>819</v>
      </c>
      <c r="B268" s="9" t="s">
        <v>820</v>
      </c>
      <c r="C268" s="7">
        <v>240</v>
      </c>
      <c r="D268" s="7">
        <v>2.7</v>
      </c>
      <c r="E268" s="7">
        <v>28.5</v>
      </c>
      <c r="F268" s="7">
        <v>80.5</v>
      </c>
      <c r="G268" s="7" t="s">
        <v>748</v>
      </c>
      <c r="H268" s="7">
        <v>240</v>
      </c>
      <c r="I268" s="7" t="s">
        <v>821</v>
      </c>
      <c r="J268" s="7">
        <v>240</v>
      </c>
      <c r="K268" s="7" t="s">
        <v>359</v>
      </c>
      <c r="L268" s="7">
        <v>159.36830484772079</v>
      </c>
      <c r="P268" s="8"/>
      <c r="V268" s="7">
        <v>37</v>
      </c>
    </row>
    <row r="269" spans="1:22">
      <c r="A269" s="7" t="s">
        <v>822</v>
      </c>
      <c r="B269" s="9" t="s">
        <v>823</v>
      </c>
      <c r="C269" s="7">
        <v>240</v>
      </c>
      <c r="D269" s="7">
        <v>2.7</v>
      </c>
      <c r="E269" s="7">
        <v>30.5</v>
      </c>
      <c r="F269" s="7">
        <v>80.5</v>
      </c>
      <c r="G269" s="7" t="s">
        <v>752</v>
      </c>
      <c r="H269" s="7">
        <v>240</v>
      </c>
      <c r="I269" s="7" t="s">
        <v>796</v>
      </c>
      <c r="J269" s="7">
        <v>240</v>
      </c>
      <c r="K269" s="7" t="s">
        <v>359</v>
      </c>
      <c r="L269" s="7">
        <v>170.59452521682823</v>
      </c>
      <c r="P269" s="8"/>
      <c r="V269" s="7">
        <v>37</v>
      </c>
    </row>
    <row r="270" spans="1:22">
      <c r="A270" s="7" t="s">
        <v>824</v>
      </c>
      <c r="B270" s="9" t="s">
        <v>825</v>
      </c>
      <c r="C270" s="7">
        <v>240</v>
      </c>
      <c r="D270" s="7">
        <v>2.7</v>
      </c>
      <c r="E270" s="7">
        <v>32.5</v>
      </c>
      <c r="F270" s="7">
        <v>80.5</v>
      </c>
      <c r="G270" s="7" t="s">
        <v>756</v>
      </c>
      <c r="H270" s="7">
        <v>240</v>
      </c>
      <c r="I270" s="7" t="s">
        <v>799</v>
      </c>
      <c r="J270" s="7">
        <v>240</v>
      </c>
      <c r="K270" s="7" t="s">
        <v>359</v>
      </c>
      <c r="L270" s="7">
        <v>181.82074558593558</v>
      </c>
      <c r="P270" s="8"/>
      <c r="V270" s="7">
        <v>37</v>
      </c>
    </row>
    <row r="271" spans="1:22">
      <c r="A271" s="7" t="s">
        <v>826</v>
      </c>
      <c r="B271" s="9" t="s">
        <v>827</v>
      </c>
      <c r="C271" s="7">
        <v>240</v>
      </c>
      <c r="D271" s="7">
        <v>2.7</v>
      </c>
      <c r="E271" s="7">
        <v>32.5</v>
      </c>
      <c r="F271" s="7">
        <v>80.5</v>
      </c>
      <c r="G271" s="7" t="s">
        <v>756</v>
      </c>
      <c r="H271" s="7">
        <v>240</v>
      </c>
      <c r="I271" s="7" t="s">
        <v>799</v>
      </c>
      <c r="J271" s="7">
        <v>240</v>
      </c>
      <c r="K271" s="7" t="s">
        <v>359</v>
      </c>
      <c r="L271" s="7">
        <v>181.82074558593558</v>
      </c>
      <c r="P271" s="8"/>
      <c r="V271" s="7">
        <v>37</v>
      </c>
    </row>
    <row r="272" spans="1:22">
      <c r="A272" s="7" t="s">
        <v>828</v>
      </c>
      <c r="B272" s="9" t="s">
        <v>829</v>
      </c>
      <c r="C272" s="7">
        <v>240</v>
      </c>
      <c r="D272" s="7">
        <v>2.7</v>
      </c>
      <c r="E272" s="7">
        <v>32.5</v>
      </c>
      <c r="F272" s="7">
        <v>84.5</v>
      </c>
      <c r="G272" s="7" t="s">
        <v>756</v>
      </c>
      <c r="H272" s="7">
        <v>240</v>
      </c>
      <c r="I272" s="7" t="s">
        <v>830</v>
      </c>
      <c r="J272" s="7">
        <v>240</v>
      </c>
      <c r="K272" s="7" t="s">
        <v>359</v>
      </c>
      <c r="L272" s="7">
        <v>181.82074558593558</v>
      </c>
      <c r="P272" s="8"/>
      <c r="V272" s="7">
        <v>37</v>
      </c>
    </row>
    <row r="273" spans="1:22">
      <c r="A273" s="7" t="s">
        <v>831</v>
      </c>
      <c r="B273" s="9" t="s">
        <v>832</v>
      </c>
      <c r="C273" s="7">
        <v>240</v>
      </c>
      <c r="D273" s="7">
        <v>2.7</v>
      </c>
      <c r="E273" s="7">
        <v>36.5</v>
      </c>
      <c r="F273" s="7">
        <v>80.5</v>
      </c>
      <c r="G273" s="7" t="s">
        <v>760</v>
      </c>
      <c r="H273" s="7">
        <v>240</v>
      </c>
      <c r="I273" s="7" t="s">
        <v>802</v>
      </c>
      <c r="J273" s="7">
        <v>240</v>
      </c>
      <c r="K273" s="7" t="s">
        <v>359</v>
      </c>
      <c r="L273" s="7">
        <v>204.05306435612869</v>
      </c>
      <c r="P273" s="8"/>
      <c r="V273" s="7">
        <v>37</v>
      </c>
    </row>
    <row r="274" spans="1:22">
      <c r="A274" s="7" t="s">
        <v>833</v>
      </c>
      <c r="B274" s="9" t="s">
        <v>834</v>
      </c>
      <c r="C274" s="7">
        <v>240</v>
      </c>
      <c r="D274" s="7">
        <v>2.7</v>
      </c>
      <c r="E274" s="7">
        <v>36.5</v>
      </c>
      <c r="F274" s="7">
        <v>84.5</v>
      </c>
      <c r="G274" s="7" t="s">
        <v>725</v>
      </c>
      <c r="H274" s="7">
        <v>240</v>
      </c>
      <c r="I274" s="7" t="s">
        <v>805</v>
      </c>
      <c r="J274" s="7">
        <v>240</v>
      </c>
      <c r="K274" s="7" t="s">
        <v>359</v>
      </c>
      <c r="L274" s="7">
        <v>214.03120931241861</v>
      </c>
      <c r="P274" s="8"/>
      <c r="V274" s="7">
        <v>37</v>
      </c>
    </row>
    <row r="275" spans="1:22">
      <c r="A275" s="7" t="s">
        <v>835</v>
      </c>
      <c r="B275" s="9" t="s">
        <v>836</v>
      </c>
      <c r="C275" s="7">
        <v>240</v>
      </c>
      <c r="D275" s="7">
        <v>2.7</v>
      </c>
      <c r="E275" s="7">
        <v>36.5</v>
      </c>
      <c r="F275" s="7">
        <v>96.5</v>
      </c>
      <c r="G275" s="7" t="s">
        <v>729</v>
      </c>
      <c r="H275" s="7">
        <v>240</v>
      </c>
      <c r="I275" s="7" t="s">
        <v>808</v>
      </c>
      <c r="J275" s="7">
        <v>240</v>
      </c>
      <c r="K275" s="7" t="s">
        <v>359</v>
      </c>
      <c r="L275" s="7">
        <v>244.66411432822866</v>
      </c>
      <c r="P275" s="8"/>
      <c r="V275" s="7">
        <v>37</v>
      </c>
    </row>
    <row r="276" spans="1:22">
      <c r="A276" s="7" t="s">
        <v>838</v>
      </c>
      <c r="B276" s="9" t="s">
        <v>839</v>
      </c>
      <c r="C276" s="7">
        <v>240</v>
      </c>
      <c r="D276" s="7">
        <v>2.7</v>
      </c>
      <c r="E276" s="7">
        <v>48.5</v>
      </c>
      <c r="F276" s="7">
        <v>84.5</v>
      </c>
      <c r="G276" s="7" t="s">
        <v>785</v>
      </c>
      <c r="H276" s="7">
        <v>240</v>
      </c>
      <c r="I276" s="7" t="s">
        <v>840</v>
      </c>
      <c r="J276" s="7">
        <v>240</v>
      </c>
      <c r="K276" s="7" t="s">
        <v>359</v>
      </c>
      <c r="L276" s="7">
        <v>284.45140223613782</v>
      </c>
      <c r="P276" s="8"/>
      <c r="V276" s="7">
        <v>37</v>
      </c>
    </row>
    <row r="277" spans="1:22">
      <c r="A277" s="7" t="s">
        <v>841</v>
      </c>
      <c r="B277" s="9" t="s">
        <v>842</v>
      </c>
      <c r="C277" s="7">
        <v>240</v>
      </c>
      <c r="D277" s="7">
        <v>2.7</v>
      </c>
      <c r="E277" s="7">
        <v>48.5</v>
      </c>
      <c r="F277" s="7">
        <v>96.5</v>
      </c>
      <c r="G277" s="7" t="s">
        <v>737</v>
      </c>
      <c r="H277" s="7">
        <v>240</v>
      </c>
      <c r="I277" s="7" t="s">
        <v>811</v>
      </c>
      <c r="J277" s="7">
        <v>240</v>
      </c>
      <c r="K277" s="7" t="s">
        <v>359</v>
      </c>
      <c r="L277" s="7">
        <v>325.16309477063402</v>
      </c>
      <c r="P277" s="8"/>
      <c r="V277" s="7">
        <v>37</v>
      </c>
    </row>
    <row r="278" spans="1:22">
      <c r="A278" s="7" t="s">
        <v>843</v>
      </c>
      <c r="B278" s="9" t="s">
        <v>844</v>
      </c>
      <c r="C278" s="7">
        <v>240</v>
      </c>
      <c r="D278" s="7">
        <v>2.7</v>
      </c>
      <c r="E278" s="7">
        <v>32.4</v>
      </c>
      <c r="F278" s="7">
        <v>80.5</v>
      </c>
      <c r="G278" s="7" t="s">
        <v>845</v>
      </c>
      <c r="H278" s="7">
        <v>240</v>
      </c>
      <c r="I278" s="7" t="s">
        <v>846</v>
      </c>
      <c r="J278" s="7">
        <v>240</v>
      </c>
      <c r="K278" s="7" t="s">
        <v>232</v>
      </c>
      <c r="L278" s="7">
        <v>149.63891386116103</v>
      </c>
      <c r="P278" s="8"/>
      <c r="V278" s="7">
        <v>37</v>
      </c>
    </row>
    <row r="279" spans="1:22">
      <c r="A279" s="7" t="s">
        <v>847</v>
      </c>
      <c r="B279" s="9" t="s">
        <v>848</v>
      </c>
      <c r="C279" s="7">
        <v>240</v>
      </c>
      <c r="D279" s="7">
        <v>2.7</v>
      </c>
      <c r="E279" s="7">
        <v>24.5</v>
      </c>
      <c r="F279" s="7">
        <v>80.5</v>
      </c>
      <c r="G279" s="7" t="s">
        <v>744</v>
      </c>
      <c r="H279" s="7">
        <v>240</v>
      </c>
      <c r="I279" s="7" t="s">
        <v>849</v>
      </c>
      <c r="J279" s="7">
        <v>240</v>
      </c>
      <c r="K279" s="7" t="s">
        <v>56</v>
      </c>
      <c r="L279" s="7">
        <v>150.12318219080879</v>
      </c>
      <c r="P279" s="8"/>
      <c r="V279" s="7">
        <v>37</v>
      </c>
    </row>
    <row r="280" spans="1:22">
      <c r="A280" s="7" t="s">
        <v>850</v>
      </c>
      <c r="B280" s="9" t="s">
        <v>851</v>
      </c>
      <c r="C280" s="7">
        <v>240</v>
      </c>
      <c r="D280" s="7">
        <v>2.7</v>
      </c>
      <c r="E280" s="7">
        <v>28.5</v>
      </c>
      <c r="F280" s="7">
        <v>80.5</v>
      </c>
      <c r="G280" s="7" t="s">
        <v>748</v>
      </c>
      <c r="H280" s="7">
        <v>240</v>
      </c>
      <c r="I280" s="7" t="s">
        <v>852</v>
      </c>
      <c r="J280" s="7">
        <v>240</v>
      </c>
      <c r="K280" s="7" t="s">
        <v>56</v>
      </c>
      <c r="L280" s="7">
        <v>175.30513533249288</v>
      </c>
      <c r="P280" s="8"/>
      <c r="V280" s="7">
        <v>37</v>
      </c>
    </row>
    <row r="281" spans="1:22">
      <c r="A281" s="7" t="s">
        <v>853</v>
      </c>
      <c r="B281" s="9" t="s">
        <v>854</v>
      </c>
      <c r="C281" s="7">
        <v>240</v>
      </c>
      <c r="D281" s="7">
        <v>2.7</v>
      </c>
      <c r="E281" s="7">
        <v>30.5</v>
      </c>
      <c r="F281" s="7">
        <v>80.5</v>
      </c>
      <c r="G281" s="7" t="s">
        <v>752</v>
      </c>
      <c r="H281" s="7">
        <v>240</v>
      </c>
      <c r="I281" s="7" t="s">
        <v>855</v>
      </c>
      <c r="J281" s="7">
        <v>240</v>
      </c>
      <c r="K281" s="7" t="s">
        <v>56</v>
      </c>
      <c r="L281" s="7">
        <v>187.65397773851103</v>
      </c>
      <c r="P281" s="8"/>
      <c r="V281" s="7">
        <v>37</v>
      </c>
    </row>
    <row r="282" spans="1:22">
      <c r="A282" s="7" t="s">
        <v>856</v>
      </c>
      <c r="B282" s="9" t="s">
        <v>857</v>
      </c>
      <c r="C282" s="7">
        <v>240</v>
      </c>
      <c r="D282" s="7">
        <v>2.7</v>
      </c>
      <c r="E282" s="7">
        <v>32.5</v>
      </c>
      <c r="F282" s="7">
        <v>80.5</v>
      </c>
      <c r="G282" s="7" t="s">
        <v>756</v>
      </c>
      <c r="H282" s="7">
        <v>240</v>
      </c>
      <c r="I282" s="7" t="s">
        <v>858</v>
      </c>
      <c r="J282" s="7">
        <v>240</v>
      </c>
      <c r="K282" s="7" t="s">
        <v>56</v>
      </c>
      <c r="L282" s="7">
        <v>200.00282014452915</v>
      </c>
      <c r="P282" s="8"/>
      <c r="V282" s="7">
        <v>37</v>
      </c>
    </row>
    <row r="283" spans="1:22">
      <c r="A283" s="7" t="s">
        <v>859</v>
      </c>
      <c r="B283" s="9" t="s">
        <v>860</v>
      </c>
      <c r="C283" s="7">
        <v>240</v>
      </c>
      <c r="D283" s="7">
        <v>2.7</v>
      </c>
      <c r="E283" s="7">
        <v>36.5</v>
      </c>
      <c r="F283" s="7">
        <v>80.5</v>
      </c>
      <c r="G283" s="7" t="s">
        <v>760</v>
      </c>
      <c r="H283" s="7">
        <v>240</v>
      </c>
      <c r="I283" s="7" t="s">
        <v>861</v>
      </c>
      <c r="J283" s="7">
        <v>240</v>
      </c>
      <c r="K283" s="7" t="s">
        <v>56</v>
      </c>
      <c r="L283" s="7">
        <v>224.45837079174154</v>
      </c>
      <c r="P283" s="8"/>
      <c r="V283" s="7">
        <v>37</v>
      </c>
    </row>
    <row r="284" spans="1:22">
      <c r="A284" s="7" t="s">
        <v>862</v>
      </c>
      <c r="B284" s="9" t="s">
        <v>863</v>
      </c>
      <c r="C284" s="7">
        <v>240</v>
      </c>
      <c r="D284" s="7">
        <v>2.7</v>
      </c>
      <c r="E284" s="7">
        <v>36.5</v>
      </c>
      <c r="F284" s="7">
        <v>84.5</v>
      </c>
      <c r="G284" s="7" t="s">
        <v>725</v>
      </c>
      <c r="H284" s="7">
        <v>240</v>
      </c>
      <c r="I284" s="7" t="s">
        <v>864</v>
      </c>
      <c r="J284" s="7">
        <v>240</v>
      </c>
      <c r="K284" s="7" t="s">
        <v>56</v>
      </c>
      <c r="L284" s="7">
        <v>235.43433024366047</v>
      </c>
      <c r="P284" s="8"/>
      <c r="V284" s="7">
        <v>37</v>
      </c>
    </row>
    <row r="285" spans="1:22">
      <c r="A285" s="7" t="s">
        <v>865</v>
      </c>
      <c r="B285" s="9" t="s">
        <v>866</v>
      </c>
      <c r="C285" s="7">
        <v>240</v>
      </c>
      <c r="D285" s="7">
        <v>2.7</v>
      </c>
      <c r="E285" s="7">
        <v>36.5</v>
      </c>
      <c r="F285" s="7">
        <v>96.5</v>
      </c>
      <c r="G285" s="7" t="s">
        <v>729</v>
      </c>
      <c r="H285" s="7">
        <v>240</v>
      </c>
      <c r="I285" s="7" t="s">
        <v>867</v>
      </c>
      <c r="J285" s="7">
        <v>240</v>
      </c>
      <c r="K285" s="7" t="s">
        <v>56</v>
      </c>
      <c r="L285" s="7">
        <v>269.13052576105156</v>
      </c>
      <c r="P285" s="8"/>
      <c r="V285" s="7">
        <v>37</v>
      </c>
    </row>
    <row r="286" spans="1:22">
      <c r="A286" s="7" t="s">
        <v>868</v>
      </c>
      <c r="B286" s="9" t="s">
        <v>869</v>
      </c>
      <c r="C286" s="7">
        <v>240</v>
      </c>
      <c r="D286" s="7">
        <v>2.7</v>
      </c>
      <c r="E286" s="7">
        <v>36.5</v>
      </c>
      <c r="F286" s="7">
        <v>108.5</v>
      </c>
      <c r="G286" s="7" t="s">
        <v>733</v>
      </c>
      <c r="H286" s="7">
        <v>240</v>
      </c>
      <c r="I286" s="7" t="s">
        <v>870</v>
      </c>
      <c r="J286" s="7">
        <v>240</v>
      </c>
      <c r="K286" s="7" t="s">
        <v>56</v>
      </c>
      <c r="L286" s="7">
        <v>302.3876829003658</v>
      </c>
      <c r="P286" s="8"/>
      <c r="V286" s="7">
        <v>37</v>
      </c>
    </row>
    <row r="287" spans="1:22">
      <c r="A287" s="7" t="s">
        <v>871</v>
      </c>
      <c r="B287" s="9" t="s">
        <v>872</v>
      </c>
      <c r="C287" s="7">
        <v>240</v>
      </c>
      <c r="D287" s="7">
        <v>2.7</v>
      </c>
      <c r="E287" s="7">
        <v>48.5</v>
      </c>
      <c r="F287" s="7">
        <v>84.5</v>
      </c>
      <c r="G287" s="7" t="s">
        <v>785</v>
      </c>
      <c r="H287" s="7">
        <v>240</v>
      </c>
      <c r="I287" s="7" t="s">
        <v>873</v>
      </c>
      <c r="J287" s="7">
        <v>240</v>
      </c>
      <c r="K287" s="7" t="s">
        <v>56</v>
      </c>
      <c r="L287" s="7">
        <v>312.89654245975157</v>
      </c>
      <c r="P287" s="8"/>
      <c r="V287" s="7">
        <v>37</v>
      </c>
    </row>
    <row r="288" spans="1:22">
      <c r="A288" s="7" t="s">
        <v>874</v>
      </c>
      <c r="B288" s="9" t="s">
        <v>875</v>
      </c>
      <c r="C288" s="7">
        <v>240</v>
      </c>
      <c r="D288" s="7">
        <v>2.7</v>
      </c>
      <c r="E288" s="7">
        <v>48.5</v>
      </c>
      <c r="F288" s="7">
        <v>96.5</v>
      </c>
      <c r="G288" s="7" t="s">
        <v>737</v>
      </c>
      <c r="H288" s="7">
        <v>240</v>
      </c>
      <c r="I288" s="7" t="s">
        <v>876</v>
      </c>
      <c r="J288" s="7">
        <v>240</v>
      </c>
      <c r="K288" s="7" t="s">
        <v>56</v>
      </c>
      <c r="L288" s="7">
        <v>357.67940424769745</v>
      </c>
      <c r="P288" s="8"/>
      <c r="V288" s="7">
        <v>37</v>
      </c>
    </row>
    <row r="289" spans="1:22">
      <c r="A289" s="7" t="s">
        <v>877</v>
      </c>
      <c r="B289" s="9" t="s">
        <v>878</v>
      </c>
      <c r="C289" s="7">
        <v>240</v>
      </c>
      <c r="D289" s="7">
        <v>2.7</v>
      </c>
      <c r="E289" s="7">
        <v>48.5</v>
      </c>
      <c r="F289" s="7">
        <v>108.5</v>
      </c>
      <c r="G289" s="7" t="s">
        <v>792</v>
      </c>
      <c r="H289" s="7">
        <v>240</v>
      </c>
      <c r="I289" s="7" t="s">
        <v>879</v>
      </c>
      <c r="J289" s="7">
        <v>240</v>
      </c>
      <c r="K289" s="7" t="s">
        <v>56</v>
      </c>
      <c r="L289" s="7">
        <v>401.87877597977416</v>
      </c>
      <c r="P289" s="8"/>
      <c r="V289" s="7">
        <v>37</v>
      </c>
    </row>
    <row r="290" spans="1:22">
      <c r="A290" s="7" t="s">
        <v>880</v>
      </c>
      <c r="B290" s="9" t="s">
        <v>881</v>
      </c>
      <c r="C290" s="7">
        <v>240</v>
      </c>
      <c r="D290" s="7">
        <v>2.7</v>
      </c>
      <c r="E290" s="7">
        <v>36.5</v>
      </c>
      <c r="F290" s="7">
        <v>84.5</v>
      </c>
      <c r="G290" s="7" t="s">
        <v>725</v>
      </c>
      <c r="H290" s="7">
        <v>240</v>
      </c>
      <c r="I290" s="7" t="s">
        <v>882</v>
      </c>
      <c r="J290" s="7">
        <v>240</v>
      </c>
      <c r="K290" s="7" t="s">
        <v>56</v>
      </c>
      <c r="L290" s="7">
        <v>235.43433024366047</v>
      </c>
      <c r="P290" s="8"/>
      <c r="V290" s="7">
        <v>37</v>
      </c>
    </row>
    <row r="291" spans="1:22">
      <c r="A291" s="7" t="s">
        <v>883</v>
      </c>
      <c r="B291" s="9" t="s">
        <v>884</v>
      </c>
      <c r="C291" s="7">
        <v>240</v>
      </c>
      <c r="D291" s="7">
        <v>2.7</v>
      </c>
      <c r="E291" s="7">
        <v>36.5</v>
      </c>
      <c r="F291" s="7">
        <v>96.5</v>
      </c>
      <c r="G291" s="7" t="s">
        <v>729</v>
      </c>
      <c r="H291" s="7">
        <v>240</v>
      </c>
      <c r="I291" s="7" t="s">
        <v>885</v>
      </c>
      <c r="J291" s="7">
        <v>240</v>
      </c>
      <c r="K291" s="7" t="s">
        <v>56</v>
      </c>
      <c r="L291" s="7">
        <v>269.13052576105156</v>
      </c>
      <c r="P291" s="8"/>
      <c r="V291" s="7">
        <v>37</v>
      </c>
    </row>
    <row r="292" spans="1:22">
      <c r="A292" s="7" t="s">
        <v>886</v>
      </c>
      <c r="B292" s="9" t="s">
        <v>887</v>
      </c>
      <c r="C292" s="7">
        <v>240</v>
      </c>
      <c r="D292" s="7">
        <v>2.7</v>
      </c>
      <c r="E292" s="7">
        <v>36.5</v>
      </c>
      <c r="F292" s="7">
        <v>108.5</v>
      </c>
      <c r="G292" s="7" t="s">
        <v>733</v>
      </c>
      <c r="H292" s="7">
        <v>240</v>
      </c>
      <c r="I292" s="7" t="s">
        <v>888</v>
      </c>
      <c r="J292" s="7">
        <v>240</v>
      </c>
      <c r="K292" s="7" t="s">
        <v>56</v>
      </c>
      <c r="L292" s="7">
        <v>302.3876829003658</v>
      </c>
      <c r="P292" s="8"/>
      <c r="V292" s="7">
        <v>37</v>
      </c>
    </row>
    <row r="293" spans="1:22">
      <c r="A293" s="7" t="s">
        <v>889</v>
      </c>
      <c r="B293" s="9" t="s">
        <v>890</v>
      </c>
      <c r="C293" s="7">
        <v>240</v>
      </c>
      <c r="D293" s="7">
        <v>2.7</v>
      </c>
      <c r="E293" s="7">
        <v>48.5</v>
      </c>
      <c r="F293" s="7">
        <v>96.5</v>
      </c>
      <c r="G293" s="7" t="s">
        <v>737</v>
      </c>
      <c r="H293" s="7">
        <v>240</v>
      </c>
      <c r="I293" s="7" t="s">
        <v>891</v>
      </c>
      <c r="J293" s="7">
        <v>240</v>
      </c>
      <c r="K293" s="7" t="s">
        <v>56</v>
      </c>
      <c r="L293" s="7">
        <v>357.67940424769745</v>
      </c>
      <c r="P293" s="8"/>
      <c r="V293" s="7">
        <v>37</v>
      </c>
    </row>
    <row r="294" spans="1:22">
      <c r="A294" s="7" t="s">
        <v>892</v>
      </c>
      <c r="B294" s="9" t="s">
        <v>893</v>
      </c>
      <c r="C294" s="7">
        <v>240</v>
      </c>
      <c r="D294" s="7">
        <v>2.7</v>
      </c>
      <c r="E294" s="7">
        <v>48.5</v>
      </c>
      <c r="F294" s="7">
        <v>96.5</v>
      </c>
      <c r="G294" s="7" t="s">
        <v>737</v>
      </c>
      <c r="H294" s="7">
        <v>240</v>
      </c>
      <c r="I294" s="7" t="s">
        <v>894</v>
      </c>
      <c r="J294" s="7">
        <v>864</v>
      </c>
      <c r="K294" s="7" t="s">
        <v>102</v>
      </c>
      <c r="L294" s="7">
        <v>300.77586266283646</v>
      </c>
      <c r="P294" s="8"/>
      <c r="V294" s="7">
        <v>37</v>
      </c>
    </row>
    <row r="295" spans="1:22">
      <c r="A295" s="7" t="s">
        <v>896</v>
      </c>
      <c r="B295" s="9" t="s">
        <v>897</v>
      </c>
      <c r="C295" s="7">
        <v>240</v>
      </c>
      <c r="D295" s="7">
        <v>2.7</v>
      </c>
      <c r="E295" s="7">
        <v>24.5</v>
      </c>
      <c r="F295" s="7">
        <v>80.5</v>
      </c>
      <c r="G295" s="7" t="s">
        <v>744</v>
      </c>
      <c r="H295" s="7">
        <v>240</v>
      </c>
      <c r="I295" s="7" t="s">
        <v>895</v>
      </c>
      <c r="J295" s="7">
        <v>480</v>
      </c>
      <c r="K295" s="7" t="s">
        <v>102</v>
      </c>
      <c r="L295" s="7">
        <v>126.23994866045285</v>
      </c>
      <c r="P295" s="8"/>
      <c r="V295" s="7">
        <v>37</v>
      </c>
    </row>
    <row r="296" spans="1:22">
      <c r="A296" s="7" t="s">
        <v>898</v>
      </c>
      <c r="B296" s="9" t="s">
        <v>899</v>
      </c>
      <c r="C296" s="7">
        <v>240</v>
      </c>
      <c r="D296" s="7">
        <v>2.7</v>
      </c>
      <c r="E296" s="7">
        <v>28.5</v>
      </c>
      <c r="F296" s="7">
        <v>80.5</v>
      </c>
      <c r="G296" s="7" t="s">
        <v>748</v>
      </c>
      <c r="H296" s="7">
        <v>240</v>
      </c>
      <c r="I296" s="7" t="s">
        <v>895</v>
      </c>
      <c r="J296" s="7">
        <v>480</v>
      </c>
      <c r="K296" s="7" t="s">
        <v>102</v>
      </c>
      <c r="L296" s="7">
        <v>147.41568198414174</v>
      </c>
      <c r="P296" s="8"/>
      <c r="V296" s="7">
        <v>37</v>
      </c>
    </row>
    <row r="297" spans="1:22">
      <c r="A297" s="7" t="s">
        <v>900</v>
      </c>
      <c r="B297" s="9" t="s">
        <v>901</v>
      </c>
      <c r="C297" s="7">
        <v>240</v>
      </c>
      <c r="D297" s="7">
        <v>2.7</v>
      </c>
      <c r="E297" s="7">
        <v>30.5</v>
      </c>
      <c r="F297" s="7">
        <v>80.5</v>
      </c>
      <c r="G297" s="7" t="s">
        <v>752</v>
      </c>
      <c r="H297" s="7">
        <v>240</v>
      </c>
      <c r="I297" s="7" t="s">
        <v>895</v>
      </c>
      <c r="J297" s="7">
        <v>480</v>
      </c>
      <c r="K297" s="7" t="s">
        <v>102</v>
      </c>
      <c r="L297" s="7">
        <v>157.79993582556611</v>
      </c>
      <c r="P297" s="8"/>
      <c r="V297" s="7">
        <v>37</v>
      </c>
    </row>
    <row r="298" spans="1:22">
      <c r="A298" s="7" t="s">
        <v>902</v>
      </c>
      <c r="B298" s="9" t="s">
        <v>903</v>
      </c>
      <c r="C298" s="7">
        <v>240</v>
      </c>
      <c r="D298" s="7">
        <v>2.7</v>
      </c>
      <c r="E298" s="7">
        <v>32.5</v>
      </c>
      <c r="F298" s="7">
        <v>80.5</v>
      </c>
      <c r="G298" s="7" t="s">
        <v>756</v>
      </c>
      <c r="H298" s="7">
        <v>240</v>
      </c>
      <c r="I298" s="7" t="s">
        <v>895</v>
      </c>
      <c r="J298" s="7">
        <v>480</v>
      </c>
      <c r="K298" s="7" t="s">
        <v>102</v>
      </c>
      <c r="L298" s="7">
        <v>168.18418966699042</v>
      </c>
      <c r="P298" s="8"/>
      <c r="V298" s="7">
        <v>37</v>
      </c>
    </row>
    <row r="299" spans="1:22">
      <c r="A299" s="7" t="s">
        <v>904</v>
      </c>
      <c r="B299" s="9" t="s">
        <v>905</v>
      </c>
      <c r="C299" s="7">
        <v>240</v>
      </c>
      <c r="D299" s="7">
        <v>2.7</v>
      </c>
      <c r="E299" s="7">
        <v>36.5</v>
      </c>
      <c r="F299" s="7">
        <v>80.5</v>
      </c>
      <c r="G299" s="7" t="s">
        <v>760</v>
      </c>
      <c r="H299" s="7">
        <v>240</v>
      </c>
      <c r="I299" s="7" t="s">
        <v>895</v>
      </c>
      <c r="J299" s="7">
        <v>576</v>
      </c>
      <c r="K299" s="7" t="s">
        <v>102</v>
      </c>
      <c r="L299" s="7">
        <v>188.74908452941904</v>
      </c>
      <c r="P299" s="8"/>
      <c r="V299" s="7">
        <v>37</v>
      </c>
    </row>
    <row r="300" spans="1:22">
      <c r="A300" s="7" t="s">
        <v>906</v>
      </c>
      <c r="B300" s="9" t="s">
        <v>907</v>
      </c>
      <c r="C300" s="7">
        <v>240</v>
      </c>
      <c r="D300" s="7">
        <v>2.7</v>
      </c>
      <c r="E300" s="7">
        <v>36.5</v>
      </c>
      <c r="F300" s="7">
        <v>84.5</v>
      </c>
      <c r="G300" s="7" t="s">
        <v>725</v>
      </c>
      <c r="H300" s="7">
        <v>240</v>
      </c>
      <c r="I300" s="7" t="s">
        <v>895</v>
      </c>
      <c r="J300" s="7">
        <v>576</v>
      </c>
      <c r="K300" s="7" t="s">
        <v>102</v>
      </c>
      <c r="L300" s="7">
        <v>197.97886861398723</v>
      </c>
      <c r="P300" s="8"/>
      <c r="V300" s="7">
        <v>37</v>
      </c>
    </row>
    <row r="301" spans="1:22">
      <c r="A301" s="7" t="s">
        <v>908</v>
      </c>
      <c r="B301" s="9" t="s">
        <v>909</v>
      </c>
      <c r="C301" s="7">
        <v>240</v>
      </c>
      <c r="D301" s="7">
        <v>2.7</v>
      </c>
      <c r="E301" s="7">
        <v>36.5</v>
      </c>
      <c r="F301" s="7">
        <v>96.5</v>
      </c>
      <c r="G301" s="7" t="s">
        <v>729</v>
      </c>
      <c r="H301" s="7">
        <v>240</v>
      </c>
      <c r="I301" s="7" t="s">
        <v>910</v>
      </c>
      <c r="J301" s="7">
        <v>648</v>
      </c>
      <c r="K301" s="7" t="s">
        <v>102</v>
      </c>
      <c r="L301" s="7">
        <v>226.31430575361151</v>
      </c>
      <c r="P301" s="8"/>
      <c r="V301" s="7">
        <v>37</v>
      </c>
    </row>
    <row r="302" spans="1:22">
      <c r="A302" s="7" t="s">
        <v>911</v>
      </c>
      <c r="B302" s="9" t="s">
        <v>912</v>
      </c>
      <c r="C302" s="7">
        <v>240</v>
      </c>
      <c r="D302" s="7">
        <v>2.7</v>
      </c>
      <c r="E302" s="7">
        <v>48.5</v>
      </c>
      <c r="F302" s="7">
        <v>96.5</v>
      </c>
      <c r="G302" s="7" t="s">
        <v>737</v>
      </c>
      <c r="H302" s="7">
        <v>240</v>
      </c>
      <c r="I302" s="7" t="s">
        <v>910</v>
      </c>
      <c r="J302" s="7">
        <v>864</v>
      </c>
      <c r="K302" s="7" t="s">
        <v>102</v>
      </c>
      <c r="L302" s="7">
        <v>300.77586266283646</v>
      </c>
      <c r="P302" s="8"/>
      <c r="V302" s="7">
        <v>37</v>
      </c>
    </row>
    <row r="303" spans="1:22">
      <c r="A303" s="7" t="s">
        <v>913</v>
      </c>
      <c r="B303" s="9" t="s">
        <v>914</v>
      </c>
      <c r="C303" s="7">
        <v>240</v>
      </c>
      <c r="D303" s="7">
        <v>2.7</v>
      </c>
      <c r="E303" s="7">
        <v>24.5</v>
      </c>
      <c r="F303" s="7">
        <v>80.5</v>
      </c>
      <c r="G303" s="7" t="s">
        <v>744</v>
      </c>
      <c r="H303" s="7">
        <v>240</v>
      </c>
      <c r="I303" s="7" t="s">
        <v>895</v>
      </c>
      <c r="J303" s="7">
        <v>480</v>
      </c>
      <c r="K303" s="7" t="s">
        <v>102</v>
      </c>
      <c r="L303" s="7">
        <v>126.23994866045285</v>
      </c>
      <c r="P303" s="8"/>
      <c r="V303" s="7">
        <v>37</v>
      </c>
    </row>
    <row r="304" spans="1:22">
      <c r="A304" s="7" t="s">
        <v>915</v>
      </c>
      <c r="B304" s="9" t="s">
        <v>916</v>
      </c>
      <c r="C304" s="7">
        <v>240</v>
      </c>
      <c r="D304" s="7">
        <v>2.7</v>
      </c>
      <c r="E304" s="7">
        <v>28.5</v>
      </c>
      <c r="F304" s="7">
        <v>80.5</v>
      </c>
      <c r="G304" s="7" t="s">
        <v>748</v>
      </c>
      <c r="H304" s="7">
        <v>240</v>
      </c>
      <c r="I304" s="7" t="s">
        <v>895</v>
      </c>
      <c r="J304" s="7">
        <v>480</v>
      </c>
      <c r="K304" s="7" t="s">
        <v>102</v>
      </c>
      <c r="L304" s="7">
        <v>147.41568198414174</v>
      </c>
      <c r="P304" s="8"/>
      <c r="V304" s="7">
        <v>37</v>
      </c>
    </row>
    <row r="305" spans="1:22">
      <c r="A305" s="7" t="s">
        <v>917</v>
      </c>
      <c r="B305" s="9" t="s">
        <v>918</v>
      </c>
      <c r="C305" s="7">
        <v>240</v>
      </c>
      <c r="D305" s="7">
        <v>2.7</v>
      </c>
      <c r="E305" s="7">
        <v>30.5</v>
      </c>
      <c r="F305" s="7">
        <v>80.5</v>
      </c>
      <c r="G305" s="7" t="s">
        <v>752</v>
      </c>
      <c r="H305" s="7">
        <v>240</v>
      </c>
      <c r="I305" s="7" t="s">
        <v>895</v>
      </c>
      <c r="J305" s="7">
        <v>480</v>
      </c>
      <c r="K305" s="7" t="s">
        <v>102</v>
      </c>
      <c r="L305" s="7">
        <v>157.79993582556611</v>
      </c>
      <c r="P305" s="8"/>
      <c r="V305" s="7">
        <v>37</v>
      </c>
    </row>
    <row r="306" spans="1:22">
      <c r="A306" s="7" t="s">
        <v>919</v>
      </c>
      <c r="B306" s="9" t="s">
        <v>920</v>
      </c>
      <c r="C306" s="7">
        <v>240</v>
      </c>
      <c r="D306" s="7">
        <v>2.7</v>
      </c>
      <c r="E306" s="7">
        <v>32.5</v>
      </c>
      <c r="F306" s="7">
        <v>80.5</v>
      </c>
      <c r="G306" s="7" t="s">
        <v>756</v>
      </c>
      <c r="H306" s="7">
        <v>240</v>
      </c>
      <c r="I306" s="7" t="s">
        <v>895</v>
      </c>
      <c r="J306" s="7">
        <v>480</v>
      </c>
      <c r="K306" s="7" t="s">
        <v>102</v>
      </c>
      <c r="L306" s="7">
        <v>168.18418966699042</v>
      </c>
      <c r="P306" s="8"/>
      <c r="V306" s="7">
        <v>37</v>
      </c>
    </row>
    <row r="307" spans="1:22">
      <c r="A307" s="7" t="s">
        <v>921</v>
      </c>
      <c r="B307" s="9" t="s">
        <v>922</v>
      </c>
      <c r="C307" s="7">
        <v>240</v>
      </c>
      <c r="D307" s="7">
        <v>2.7</v>
      </c>
      <c r="E307" s="7">
        <v>36.5</v>
      </c>
      <c r="F307" s="7">
        <v>80.5</v>
      </c>
      <c r="G307" s="7" t="s">
        <v>760</v>
      </c>
      <c r="H307" s="7">
        <v>240</v>
      </c>
      <c r="I307" s="7" t="s">
        <v>895</v>
      </c>
      <c r="J307" s="7">
        <v>576</v>
      </c>
      <c r="K307" s="7" t="s">
        <v>102</v>
      </c>
      <c r="L307" s="7">
        <v>188.74908452941904</v>
      </c>
      <c r="P307" s="8"/>
      <c r="V307" s="7">
        <v>37</v>
      </c>
    </row>
    <row r="308" spans="1:22">
      <c r="A308" s="7" t="s">
        <v>923</v>
      </c>
      <c r="B308" s="9" t="s">
        <v>924</v>
      </c>
      <c r="C308" s="7">
        <v>240</v>
      </c>
      <c r="D308" s="7">
        <v>2.7</v>
      </c>
      <c r="E308" s="7">
        <v>36.5</v>
      </c>
      <c r="F308" s="7">
        <v>84.5</v>
      </c>
      <c r="G308" s="7" t="s">
        <v>725</v>
      </c>
      <c r="H308" s="7">
        <v>240</v>
      </c>
      <c r="I308" s="7" t="s">
        <v>895</v>
      </c>
      <c r="J308" s="7">
        <v>576</v>
      </c>
      <c r="K308" s="7" t="s">
        <v>102</v>
      </c>
      <c r="L308" s="7">
        <v>197.97886861398723</v>
      </c>
      <c r="P308" s="8"/>
      <c r="V308" s="7">
        <v>37</v>
      </c>
    </row>
    <row r="309" spans="1:22">
      <c r="A309" s="7" t="s">
        <v>925</v>
      </c>
      <c r="B309" s="9" t="s">
        <v>926</v>
      </c>
      <c r="C309" s="7">
        <v>240</v>
      </c>
      <c r="D309" s="7">
        <v>2.7</v>
      </c>
      <c r="E309" s="7">
        <v>36.5</v>
      </c>
      <c r="F309" s="7">
        <v>96.5</v>
      </c>
      <c r="G309" s="7" t="s">
        <v>729</v>
      </c>
      <c r="H309" s="7">
        <v>240</v>
      </c>
      <c r="I309" s="7" t="s">
        <v>910</v>
      </c>
      <c r="J309" s="7">
        <v>648</v>
      </c>
      <c r="K309" s="7" t="s">
        <v>102</v>
      </c>
      <c r="L309" s="7">
        <v>226.31430575361151</v>
      </c>
      <c r="P309" s="8"/>
      <c r="V309" s="7">
        <v>37</v>
      </c>
    </row>
    <row r="310" spans="1:22">
      <c r="A310" s="7" t="s">
        <v>927</v>
      </c>
      <c r="B310" s="9" t="s">
        <v>928</v>
      </c>
      <c r="C310" s="7">
        <v>240</v>
      </c>
      <c r="D310" s="7">
        <v>2.7</v>
      </c>
      <c r="E310" s="7">
        <v>48.5</v>
      </c>
      <c r="F310" s="7">
        <v>84.5</v>
      </c>
      <c r="G310" s="7" t="s">
        <v>785</v>
      </c>
      <c r="H310" s="7">
        <v>240</v>
      </c>
      <c r="I310" s="7" t="s">
        <v>910</v>
      </c>
      <c r="J310" s="7">
        <v>864</v>
      </c>
      <c r="K310" s="7" t="s">
        <v>102</v>
      </c>
      <c r="L310" s="7">
        <v>263.11754706842748</v>
      </c>
      <c r="P310" s="8"/>
      <c r="V310" s="7">
        <v>37</v>
      </c>
    </row>
    <row r="311" spans="1:22">
      <c r="A311" s="7" t="s">
        <v>929</v>
      </c>
      <c r="B311" s="9" t="s">
        <v>930</v>
      </c>
      <c r="C311" s="7">
        <v>240</v>
      </c>
      <c r="D311" s="7">
        <v>2.7</v>
      </c>
      <c r="E311" s="7">
        <v>48.5</v>
      </c>
      <c r="F311" s="7">
        <v>96.5</v>
      </c>
      <c r="G311" s="7" t="s">
        <v>737</v>
      </c>
      <c r="H311" s="7">
        <v>240</v>
      </c>
      <c r="I311" s="7" t="s">
        <v>910</v>
      </c>
      <c r="J311" s="7">
        <v>864</v>
      </c>
      <c r="K311" s="7" t="s">
        <v>102</v>
      </c>
      <c r="L311" s="7">
        <v>300.77586266283646</v>
      </c>
      <c r="P311" s="8"/>
      <c r="V311" s="7">
        <v>37</v>
      </c>
    </row>
    <row r="312" spans="1:22">
      <c r="A312" s="7" t="s">
        <v>933</v>
      </c>
      <c r="B312" s="9" t="s">
        <v>934</v>
      </c>
      <c r="C312" s="7">
        <v>240</v>
      </c>
      <c r="D312" s="7">
        <v>2.7</v>
      </c>
      <c r="E312" s="7">
        <v>24.5</v>
      </c>
      <c r="F312" s="7">
        <v>80.5</v>
      </c>
      <c r="G312" s="7" t="s">
        <v>744</v>
      </c>
      <c r="H312" s="7">
        <v>240</v>
      </c>
      <c r="I312" s="7" t="s">
        <v>935</v>
      </c>
      <c r="J312" s="7">
        <v>240</v>
      </c>
      <c r="K312" s="7" t="s">
        <v>932</v>
      </c>
      <c r="L312" s="7">
        <v>112.59238664310661</v>
      </c>
      <c r="P312" s="8"/>
      <c r="V312" s="7">
        <v>37</v>
      </c>
    </row>
    <row r="313" spans="1:22">
      <c r="A313" s="7" t="s">
        <v>936</v>
      </c>
      <c r="B313" s="9" t="s">
        <v>934</v>
      </c>
      <c r="C313" s="7">
        <v>240</v>
      </c>
      <c r="D313" s="7">
        <v>2.7</v>
      </c>
      <c r="E313" s="7">
        <v>24.5</v>
      </c>
      <c r="F313" s="7">
        <v>80.5</v>
      </c>
      <c r="G313" s="7" t="s">
        <v>937</v>
      </c>
      <c r="H313" s="7">
        <v>240</v>
      </c>
      <c r="I313" s="7" t="s">
        <v>935</v>
      </c>
      <c r="J313" s="7">
        <v>240</v>
      </c>
      <c r="K313" s="7" t="s">
        <v>932</v>
      </c>
      <c r="L313" s="7">
        <v>112.59238664310661</v>
      </c>
      <c r="P313" s="8"/>
      <c r="V313" s="7">
        <v>37</v>
      </c>
    </row>
    <row r="314" spans="1:22">
      <c r="A314" s="7" t="s">
        <v>938</v>
      </c>
      <c r="B314" s="9" t="s">
        <v>939</v>
      </c>
      <c r="C314" s="7">
        <v>240</v>
      </c>
      <c r="D314" s="7">
        <v>2.7</v>
      </c>
      <c r="E314" s="7">
        <v>28.5</v>
      </c>
      <c r="F314" s="7">
        <v>80.5</v>
      </c>
      <c r="G314" s="7" t="s">
        <v>748</v>
      </c>
      <c r="H314" s="7">
        <v>240</v>
      </c>
      <c r="I314" s="7" t="s">
        <v>940</v>
      </c>
      <c r="J314" s="7">
        <v>240</v>
      </c>
      <c r="K314" s="7" t="s">
        <v>932</v>
      </c>
      <c r="L314" s="7">
        <v>131.47885149936965</v>
      </c>
      <c r="P314" s="8"/>
      <c r="V314" s="7">
        <v>37</v>
      </c>
    </row>
    <row r="315" spans="1:22">
      <c r="A315" s="7" t="s">
        <v>941</v>
      </c>
      <c r="B315" s="9" t="s">
        <v>939</v>
      </c>
      <c r="C315" s="7">
        <v>240</v>
      </c>
      <c r="D315" s="7">
        <v>2.7</v>
      </c>
      <c r="E315" s="7">
        <v>28.5</v>
      </c>
      <c r="F315" s="7">
        <v>80.5</v>
      </c>
      <c r="G315" s="7" t="s">
        <v>942</v>
      </c>
      <c r="H315" s="7">
        <v>240</v>
      </c>
      <c r="I315" s="7" t="s">
        <v>940</v>
      </c>
      <c r="J315" s="7">
        <v>240</v>
      </c>
      <c r="K315" s="7" t="s">
        <v>932</v>
      </c>
      <c r="L315" s="7">
        <v>131.47885149936965</v>
      </c>
      <c r="P315" s="8"/>
      <c r="V315" s="7">
        <v>37</v>
      </c>
    </row>
    <row r="316" spans="1:22">
      <c r="A316" s="7" t="s">
        <v>943</v>
      </c>
      <c r="B316" s="9" t="s">
        <v>944</v>
      </c>
      <c r="C316" s="7">
        <v>240</v>
      </c>
      <c r="D316" s="7">
        <v>2.7</v>
      </c>
      <c r="E316" s="7">
        <v>30.5</v>
      </c>
      <c r="F316" s="7">
        <v>80.5</v>
      </c>
      <c r="G316" s="7" t="s">
        <v>752</v>
      </c>
      <c r="H316" s="7">
        <v>240</v>
      </c>
      <c r="I316" s="7" t="s">
        <v>945</v>
      </c>
      <c r="J316" s="7">
        <v>240</v>
      </c>
      <c r="K316" s="7" t="s">
        <v>932</v>
      </c>
      <c r="L316" s="7">
        <v>140.74048330388328</v>
      </c>
      <c r="P316" s="8"/>
      <c r="V316" s="7">
        <v>37</v>
      </c>
    </row>
    <row r="317" spans="1:22">
      <c r="A317" s="7" t="s">
        <v>946</v>
      </c>
      <c r="B317" s="9" t="s">
        <v>944</v>
      </c>
      <c r="C317" s="7">
        <v>240</v>
      </c>
      <c r="D317" s="7">
        <v>2.7</v>
      </c>
      <c r="E317" s="7">
        <v>30.5</v>
      </c>
      <c r="F317" s="7">
        <v>80.5</v>
      </c>
      <c r="G317" s="7" t="s">
        <v>947</v>
      </c>
      <c r="H317" s="7">
        <v>240</v>
      </c>
      <c r="I317" s="7" t="s">
        <v>945</v>
      </c>
      <c r="J317" s="7">
        <v>240</v>
      </c>
      <c r="K317" s="7" t="s">
        <v>932</v>
      </c>
      <c r="L317" s="7">
        <v>140.74048330388328</v>
      </c>
      <c r="P317" s="8"/>
      <c r="V317" s="7">
        <v>37</v>
      </c>
    </row>
    <row r="318" spans="1:22">
      <c r="A318" s="7" t="s">
        <v>948</v>
      </c>
      <c r="B318" s="9" t="s">
        <v>949</v>
      </c>
      <c r="C318" s="7">
        <v>240</v>
      </c>
      <c r="D318" s="7">
        <v>2.7</v>
      </c>
      <c r="E318" s="7">
        <v>32.5</v>
      </c>
      <c r="F318" s="7">
        <v>80.5</v>
      </c>
      <c r="G318" s="7" t="s">
        <v>756</v>
      </c>
      <c r="H318" s="7">
        <v>240</v>
      </c>
      <c r="I318" s="7" t="s">
        <v>950</v>
      </c>
      <c r="J318" s="7">
        <v>240</v>
      </c>
      <c r="K318" s="7" t="s">
        <v>932</v>
      </c>
      <c r="L318" s="7">
        <v>150.00211510839685</v>
      </c>
      <c r="P318" s="8"/>
      <c r="V318" s="7">
        <v>37</v>
      </c>
    </row>
    <row r="319" spans="1:22">
      <c r="A319" s="7" t="s">
        <v>951</v>
      </c>
      <c r="B319" s="9" t="s">
        <v>949</v>
      </c>
      <c r="C319" s="7">
        <v>240</v>
      </c>
      <c r="D319" s="7">
        <v>2.7</v>
      </c>
      <c r="E319" s="7">
        <v>32.5</v>
      </c>
      <c r="F319" s="7">
        <v>80.5</v>
      </c>
      <c r="G319" s="7" t="s">
        <v>952</v>
      </c>
      <c r="H319" s="7">
        <v>240</v>
      </c>
      <c r="I319" s="7" t="s">
        <v>950</v>
      </c>
      <c r="J319" s="7">
        <v>240</v>
      </c>
      <c r="K319" s="7" t="s">
        <v>932</v>
      </c>
      <c r="L319" s="7">
        <v>150.00211510839685</v>
      </c>
      <c r="P319" s="8"/>
      <c r="V319" s="7">
        <v>37</v>
      </c>
    </row>
    <row r="320" spans="1:22">
      <c r="A320" s="7" t="s">
        <v>953</v>
      </c>
      <c r="B320" s="9" t="s">
        <v>954</v>
      </c>
      <c r="C320" s="7">
        <v>240</v>
      </c>
      <c r="D320" s="7">
        <v>2.7</v>
      </c>
      <c r="E320" s="7">
        <v>36.5</v>
      </c>
      <c r="F320" s="7">
        <v>80.5</v>
      </c>
      <c r="G320" s="7" t="s">
        <v>760</v>
      </c>
      <c r="H320" s="7">
        <v>240</v>
      </c>
      <c r="I320" s="7" t="s">
        <v>955</v>
      </c>
      <c r="J320" s="7">
        <v>240</v>
      </c>
      <c r="K320" s="7" t="s">
        <v>932</v>
      </c>
      <c r="L320" s="7">
        <v>168.34377809380615</v>
      </c>
      <c r="P320" s="8"/>
      <c r="V320" s="7">
        <v>37</v>
      </c>
    </row>
    <row r="321" spans="1:22">
      <c r="A321" s="7" t="s">
        <v>956</v>
      </c>
      <c r="B321" s="9" t="s">
        <v>954</v>
      </c>
      <c r="C321" s="7">
        <v>240</v>
      </c>
      <c r="D321" s="7">
        <v>2.7</v>
      </c>
      <c r="E321" s="7">
        <v>36.5</v>
      </c>
      <c r="F321" s="7">
        <v>80.5</v>
      </c>
      <c r="G321" s="7" t="s">
        <v>957</v>
      </c>
      <c r="H321" s="7">
        <v>240</v>
      </c>
      <c r="I321" s="7" t="s">
        <v>955</v>
      </c>
      <c r="J321" s="7">
        <v>240</v>
      </c>
      <c r="K321" s="7" t="s">
        <v>932</v>
      </c>
      <c r="L321" s="7">
        <v>168.34377809380615</v>
      </c>
      <c r="P321" s="8"/>
      <c r="V321" s="7">
        <v>37</v>
      </c>
    </row>
    <row r="322" spans="1:22">
      <c r="A322" s="7" t="s">
        <v>958</v>
      </c>
      <c r="B322" s="9" t="s">
        <v>959</v>
      </c>
      <c r="C322" s="7">
        <v>240</v>
      </c>
      <c r="D322" s="7">
        <v>2.7</v>
      </c>
      <c r="E322" s="7">
        <v>36.5</v>
      </c>
      <c r="F322" s="7">
        <v>84.5</v>
      </c>
      <c r="G322" s="7" t="s">
        <v>960</v>
      </c>
      <c r="H322" s="7">
        <v>240</v>
      </c>
      <c r="I322" s="7" t="s">
        <v>961</v>
      </c>
      <c r="J322" s="7">
        <v>240</v>
      </c>
      <c r="K322" s="7" t="s">
        <v>932</v>
      </c>
      <c r="L322" s="7">
        <v>176.57574768274537</v>
      </c>
      <c r="P322" s="8"/>
      <c r="V322" s="7">
        <v>37</v>
      </c>
    </row>
    <row r="323" spans="1:22">
      <c r="A323" s="7" t="s">
        <v>962</v>
      </c>
      <c r="B323" s="9" t="s">
        <v>963</v>
      </c>
      <c r="C323" s="7">
        <v>240</v>
      </c>
      <c r="D323" s="7">
        <v>2.7</v>
      </c>
      <c r="E323" s="7">
        <v>36.5</v>
      </c>
      <c r="F323" s="7">
        <v>96.5</v>
      </c>
      <c r="G323" s="7" t="s">
        <v>729</v>
      </c>
      <c r="H323" s="7">
        <v>240</v>
      </c>
      <c r="I323" s="7" t="s">
        <v>964</v>
      </c>
      <c r="J323" s="7">
        <v>240</v>
      </c>
      <c r="K323" s="7" t="s">
        <v>932</v>
      </c>
      <c r="L323" s="7">
        <v>201.84789432078864</v>
      </c>
      <c r="P323" s="8"/>
      <c r="V323" s="7">
        <v>37</v>
      </c>
    </row>
    <row r="324" spans="1:22">
      <c r="A324" s="7" t="s">
        <v>965</v>
      </c>
      <c r="B324" s="9" t="s">
        <v>963</v>
      </c>
      <c r="C324" s="7">
        <v>240</v>
      </c>
      <c r="D324" s="7">
        <v>2.7</v>
      </c>
      <c r="E324" s="7">
        <v>36.5</v>
      </c>
      <c r="F324" s="7">
        <v>96.5</v>
      </c>
      <c r="G324" s="7" t="s">
        <v>966</v>
      </c>
      <c r="H324" s="7">
        <v>240</v>
      </c>
      <c r="I324" s="7" t="s">
        <v>964</v>
      </c>
      <c r="J324" s="7">
        <v>240</v>
      </c>
      <c r="K324" s="7" t="s">
        <v>932</v>
      </c>
      <c r="L324" s="7">
        <v>201.84789432078864</v>
      </c>
      <c r="P324" s="8"/>
      <c r="V324" s="7">
        <v>37</v>
      </c>
    </row>
    <row r="325" spans="1:22">
      <c r="A325" s="7" t="s">
        <v>967</v>
      </c>
      <c r="B325" s="9" t="s">
        <v>968</v>
      </c>
      <c r="C325" s="7">
        <v>240</v>
      </c>
      <c r="D325" s="7">
        <v>2.7</v>
      </c>
      <c r="E325" s="7">
        <v>48.5</v>
      </c>
      <c r="F325" s="7">
        <v>96.5</v>
      </c>
      <c r="G325" s="7" t="s">
        <v>969</v>
      </c>
      <c r="H325" s="7">
        <v>240</v>
      </c>
      <c r="I325" s="7" t="s">
        <v>970</v>
      </c>
      <c r="J325" s="7">
        <v>240</v>
      </c>
      <c r="K325" s="7" t="s">
        <v>932</v>
      </c>
      <c r="L325" s="7">
        <v>268.25955318577309</v>
      </c>
      <c r="P325" s="8"/>
      <c r="V325" s="7">
        <v>37</v>
      </c>
    </row>
    <row r="326" spans="1:22">
      <c r="A326" s="7" t="s">
        <v>971</v>
      </c>
      <c r="B326" s="9" t="s">
        <v>972</v>
      </c>
      <c r="C326" s="7">
        <v>240</v>
      </c>
      <c r="D326" s="7">
        <v>2.7</v>
      </c>
      <c r="E326" s="7">
        <v>36.5</v>
      </c>
      <c r="F326" s="7">
        <v>84.5</v>
      </c>
      <c r="G326" s="7" t="s">
        <v>725</v>
      </c>
      <c r="H326" s="7">
        <v>240</v>
      </c>
      <c r="I326" s="7" t="s">
        <v>973</v>
      </c>
      <c r="J326" s="7">
        <v>240</v>
      </c>
      <c r="K326" s="7" t="s">
        <v>359</v>
      </c>
      <c r="L326" s="7">
        <v>214.03120931241861</v>
      </c>
      <c r="P326" s="8"/>
      <c r="V326" s="7">
        <v>37</v>
      </c>
    </row>
    <row r="327" spans="1:22">
      <c r="A327" s="7" t="s">
        <v>974</v>
      </c>
      <c r="B327" s="9" t="s">
        <v>975</v>
      </c>
      <c r="C327" s="7">
        <v>240</v>
      </c>
      <c r="D327" s="7">
        <v>2.7</v>
      </c>
      <c r="E327" s="7">
        <v>36.5</v>
      </c>
      <c r="F327" s="7">
        <v>96.5</v>
      </c>
      <c r="G327" s="7" t="s">
        <v>729</v>
      </c>
      <c r="H327" s="7">
        <v>240</v>
      </c>
      <c r="I327" s="7" t="s">
        <v>976</v>
      </c>
      <c r="J327" s="7">
        <v>240</v>
      </c>
      <c r="K327" s="7" t="s">
        <v>359</v>
      </c>
      <c r="L327" s="7">
        <v>244.66411432822866</v>
      </c>
      <c r="P327" s="8"/>
      <c r="V327" s="7">
        <v>37</v>
      </c>
    </row>
    <row r="328" spans="1:22">
      <c r="A328" s="7" t="s">
        <v>977</v>
      </c>
      <c r="B328" s="9" t="s">
        <v>978</v>
      </c>
      <c r="C328" s="7">
        <v>240</v>
      </c>
      <c r="D328" s="7">
        <v>2.7</v>
      </c>
      <c r="E328" s="7">
        <v>36.5</v>
      </c>
      <c r="F328" s="7">
        <v>108.5</v>
      </c>
      <c r="G328" s="7" t="s">
        <v>733</v>
      </c>
      <c r="H328" s="7">
        <v>240</v>
      </c>
      <c r="I328" s="7" t="s">
        <v>979</v>
      </c>
      <c r="J328" s="7">
        <v>240</v>
      </c>
      <c r="K328" s="7" t="s">
        <v>359</v>
      </c>
      <c r="L328" s="7">
        <v>274.8978935457871</v>
      </c>
      <c r="P328" s="8"/>
      <c r="V328" s="7">
        <v>37</v>
      </c>
    </row>
    <row r="329" spans="1:22">
      <c r="A329" s="7" t="s">
        <v>980</v>
      </c>
      <c r="B329" s="9" t="s">
        <v>981</v>
      </c>
      <c r="C329" s="7">
        <v>240</v>
      </c>
      <c r="D329" s="7">
        <v>2.7</v>
      </c>
      <c r="E329" s="7">
        <v>48.5</v>
      </c>
      <c r="F329" s="7">
        <v>96.5</v>
      </c>
      <c r="G329" s="7" t="s">
        <v>737</v>
      </c>
      <c r="H329" s="7">
        <v>240</v>
      </c>
      <c r="I329" s="7" t="s">
        <v>982</v>
      </c>
      <c r="J329" s="7">
        <v>240</v>
      </c>
      <c r="K329" s="7" t="s">
        <v>359</v>
      </c>
      <c r="L329" s="7">
        <v>325.16309477063402</v>
      </c>
      <c r="P329" s="8"/>
      <c r="V329" s="7">
        <v>37</v>
      </c>
    </row>
    <row r="330" spans="1:22">
      <c r="A330" s="7" t="s">
        <v>983</v>
      </c>
      <c r="B330" s="9" t="s">
        <v>984</v>
      </c>
      <c r="C330" s="7">
        <v>240</v>
      </c>
      <c r="D330" s="7">
        <v>2.7</v>
      </c>
      <c r="E330" s="7">
        <v>36.5</v>
      </c>
      <c r="F330" s="7">
        <v>80.5</v>
      </c>
      <c r="G330" s="7" t="s">
        <v>760</v>
      </c>
      <c r="H330" s="7">
        <v>240</v>
      </c>
      <c r="I330" s="7" t="s">
        <v>985</v>
      </c>
      <c r="J330" s="7">
        <v>240</v>
      </c>
      <c r="K330" s="7" t="s">
        <v>359</v>
      </c>
      <c r="L330" s="7">
        <v>234.66102400954799</v>
      </c>
      <c r="P330" s="8"/>
      <c r="V330" s="7">
        <v>37</v>
      </c>
    </row>
    <row r="331" spans="1:22">
      <c r="A331" s="7" t="s">
        <v>986</v>
      </c>
      <c r="B331" s="9" t="s">
        <v>987</v>
      </c>
      <c r="C331" s="7">
        <v>240</v>
      </c>
      <c r="D331" s="7">
        <v>2.7</v>
      </c>
      <c r="E331" s="7">
        <v>36.5</v>
      </c>
      <c r="F331" s="7">
        <v>84.5</v>
      </c>
      <c r="G331" s="7" t="s">
        <v>725</v>
      </c>
      <c r="H331" s="7">
        <v>240</v>
      </c>
      <c r="I331" s="7" t="s">
        <v>988</v>
      </c>
      <c r="J331" s="7">
        <v>240</v>
      </c>
      <c r="K331" s="7" t="s">
        <v>359</v>
      </c>
      <c r="L331" s="7">
        <v>246.1358907092814</v>
      </c>
      <c r="P331" s="8"/>
      <c r="V331" s="7">
        <v>37</v>
      </c>
    </row>
    <row r="332" spans="1:22">
      <c r="A332" s="7" t="s">
        <v>989</v>
      </c>
      <c r="B332" s="9" t="s">
        <v>990</v>
      </c>
      <c r="C332" s="7">
        <v>240</v>
      </c>
      <c r="D332" s="7">
        <v>2.7</v>
      </c>
      <c r="E332" s="7">
        <v>36.5</v>
      </c>
      <c r="F332" s="7">
        <v>96.5</v>
      </c>
      <c r="G332" s="7" t="s">
        <v>729</v>
      </c>
      <c r="H332" s="7">
        <v>240</v>
      </c>
      <c r="I332" s="7" t="s">
        <v>991</v>
      </c>
      <c r="J332" s="7">
        <v>240</v>
      </c>
      <c r="K332" s="7" t="s">
        <v>359</v>
      </c>
      <c r="L332" s="7">
        <v>281.36373147746298</v>
      </c>
      <c r="P332" s="8"/>
      <c r="V332" s="7">
        <v>37</v>
      </c>
    </row>
    <row r="333" spans="1:22">
      <c r="A333" s="7" t="s">
        <v>992</v>
      </c>
      <c r="B333" s="9" t="s">
        <v>993</v>
      </c>
      <c r="C333" s="7">
        <v>240</v>
      </c>
      <c r="D333" s="7">
        <v>2.7</v>
      </c>
      <c r="E333" s="7">
        <v>36.5</v>
      </c>
      <c r="F333" s="7">
        <v>108.5</v>
      </c>
      <c r="G333" s="7" t="s">
        <v>733</v>
      </c>
      <c r="H333" s="7">
        <v>240</v>
      </c>
      <c r="I333" s="7" t="s">
        <v>994</v>
      </c>
      <c r="J333" s="7">
        <v>240</v>
      </c>
      <c r="K333" s="7" t="s">
        <v>359</v>
      </c>
      <c r="L333" s="7">
        <v>316.13257757765513</v>
      </c>
      <c r="P333" s="8"/>
      <c r="V333" s="7">
        <v>37</v>
      </c>
    </row>
    <row r="334" spans="1:22">
      <c r="A334" s="7" t="s">
        <v>995</v>
      </c>
      <c r="B334" s="9" t="s">
        <v>996</v>
      </c>
      <c r="C334" s="7">
        <v>240</v>
      </c>
      <c r="D334" s="7">
        <v>2.7</v>
      </c>
      <c r="E334" s="7">
        <v>48.5</v>
      </c>
      <c r="F334" s="7">
        <v>96.5</v>
      </c>
      <c r="G334" s="7" t="s">
        <v>737</v>
      </c>
      <c r="H334" s="7">
        <v>240</v>
      </c>
      <c r="I334" s="7" t="s">
        <v>997</v>
      </c>
      <c r="J334" s="7">
        <v>240</v>
      </c>
      <c r="K334" s="7" t="s">
        <v>359</v>
      </c>
      <c r="L334" s="7">
        <v>373.93755898622913</v>
      </c>
      <c r="P334" s="8"/>
      <c r="V334" s="7">
        <v>37</v>
      </c>
    </row>
    <row r="335" spans="1:22">
      <c r="A335" s="7" t="s">
        <v>998</v>
      </c>
      <c r="B335" s="9" t="s">
        <v>999</v>
      </c>
      <c r="C335" s="7">
        <v>240</v>
      </c>
      <c r="D335" s="7">
        <v>2.7</v>
      </c>
      <c r="E335" s="7">
        <v>36.5</v>
      </c>
      <c r="F335" s="7">
        <v>80.5</v>
      </c>
      <c r="G335" s="7" t="s">
        <v>760</v>
      </c>
      <c r="H335" s="7">
        <v>240</v>
      </c>
      <c r="I335" s="7" t="s">
        <v>1000</v>
      </c>
      <c r="J335" s="7">
        <v>240</v>
      </c>
      <c r="K335" s="7" t="s">
        <v>359</v>
      </c>
      <c r="L335" s="7">
        <v>234.66102400954799</v>
      </c>
      <c r="P335" s="8"/>
      <c r="V335" s="7">
        <v>37</v>
      </c>
    </row>
    <row r="336" spans="1:22">
      <c r="A336" s="7" t="s">
        <v>1001</v>
      </c>
      <c r="B336" s="9" t="s">
        <v>1002</v>
      </c>
      <c r="C336" s="7">
        <v>240</v>
      </c>
      <c r="D336" s="7">
        <v>2.7</v>
      </c>
      <c r="E336" s="7">
        <v>36.5</v>
      </c>
      <c r="F336" s="7">
        <v>84.5</v>
      </c>
      <c r="G336" s="7" t="s">
        <v>725</v>
      </c>
      <c r="H336" s="7">
        <v>240</v>
      </c>
      <c r="I336" s="7" t="s">
        <v>1003</v>
      </c>
      <c r="J336" s="7">
        <v>240</v>
      </c>
      <c r="K336" s="7" t="s">
        <v>359</v>
      </c>
      <c r="L336" s="7">
        <v>246.1358907092814</v>
      </c>
      <c r="P336" s="8"/>
      <c r="V336" s="7">
        <v>37</v>
      </c>
    </row>
    <row r="337" spans="1:22">
      <c r="A337" s="7" t="s">
        <v>1004</v>
      </c>
      <c r="B337" s="9" t="s">
        <v>1005</v>
      </c>
      <c r="C337" s="7">
        <v>240</v>
      </c>
      <c r="D337" s="7">
        <v>2.7</v>
      </c>
      <c r="E337" s="7">
        <v>36.5</v>
      </c>
      <c r="F337" s="7">
        <v>96.5</v>
      </c>
      <c r="G337" s="7" t="s">
        <v>729</v>
      </c>
      <c r="H337" s="7">
        <v>240</v>
      </c>
      <c r="I337" s="7" t="s">
        <v>1006</v>
      </c>
      <c r="J337" s="7">
        <v>240</v>
      </c>
      <c r="K337" s="7" t="s">
        <v>359</v>
      </c>
      <c r="L337" s="7">
        <v>281.36373147746298</v>
      </c>
      <c r="P337" s="8"/>
      <c r="V337" s="7">
        <v>37</v>
      </c>
    </row>
    <row r="338" spans="1:22">
      <c r="A338" s="7" t="s">
        <v>1007</v>
      </c>
      <c r="B338" s="9" t="s">
        <v>1008</v>
      </c>
      <c r="C338" s="7">
        <v>240</v>
      </c>
      <c r="D338" s="7">
        <v>2.7</v>
      </c>
      <c r="E338" s="7">
        <v>36.5</v>
      </c>
      <c r="F338" s="7">
        <v>108.5</v>
      </c>
      <c r="G338" s="7" t="s">
        <v>733</v>
      </c>
      <c r="H338" s="7">
        <v>240</v>
      </c>
      <c r="I338" s="7" t="s">
        <v>1009</v>
      </c>
      <c r="J338" s="7">
        <v>240</v>
      </c>
      <c r="K338" s="7" t="s">
        <v>359</v>
      </c>
      <c r="L338" s="7">
        <v>316.13257757765513</v>
      </c>
      <c r="P338" s="8"/>
      <c r="V338" s="7">
        <v>37</v>
      </c>
    </row>
    <row r="339" spans="1:22">
      <c r="A339" s="7" t="s">
        <v>1010</v>
      </c>
      <c r="B339" s="9" t="s">
        <v>1011</v>
      </c>
      <c r="C339" s="7">
        <v>240</v>
      </c>
      <c r="D339" s="7">
        <v>2.7</v>
      </c>
      <c r="E339" s="7">
        <v>48.5</v>
      </c>
      <c r="F339" s="7">
        <v>84.5</v>
      </c>
      <c r="G339" s="7" t="s">
        <v>785</v>
      </c>
      <c r="H339" s="7">
        <v>240</v>
      </c>
      <c r="I339" s="7" t="s">
        <v>1012</v>
      </c>
      <c r="J339" s="7">
        <v>240</v>
      </c>
      <c r="K339" s="7" t="s">
        <v>359</v>
      </c>
      <c r="L339" s="7">
        <v>327.11911257155845</v>
      </c>
      <c r="P339" s="8"/>
      <c r="V339" s="7">
        <v>37</v>
      </c>
    </row>
    <row r="340" spans="1:22">
      <c r="A340" s="7" t="s">
        <v>1013</v>
      </c>
      <c r="B340" s="9" t="s">
        <v>1014</v>
      </c>
      <c r="C340" s="7">
        <v>240</v>
      </c>
      <c r="D340" s="7">
        <v>2.7</v>
      </c>
      <c r="E340" s="7">
        <v>48.5</v>
      </c>
      <c r="F340" s="7">
        <v>96.5</v>
      </c>
      <c r="G340" s="7" t="s">
        <v>737</v>
      </c>
      <c r="H340" s="7">
        <v>240</v>
      </c>
      <c r="I340" s="7" t="s">
        <v>1015</v>
      </c>
      <c r="J340" s="7">
        <v>240</v>
      </c>
      <c r="K340" s="7" t="s">
        <v>359</v>
      </c>
      <c r="L340" s="7">
        <v>373.93755898622913</v>
      </c>
      <c r="P340" s="8"/>
      <c r="V340" s="7">
        <v>37</v>
      </c>
    </row>
    <row r="341" spans="1:22">
      <c r="A341" s="7" t="s">
        <v>1016</v>
      </c>
      <c r="B341" s="9" t="s">
        <v>1017</v>
      </c>
      <c r="C341" s="7">
        <v>240</v>
      </c>
      <c r="D341" s="7">
        <v>2.7</v>
      </c>
      <c r="E341" s="7">
        <v>48.5</v>
      </c>
      <c r="F341" s="7">
        <v>108.5</v>
      </c>
      <c r="G341" s="7" t="s">
        <v>792</v>
      </c>
      <c r="H341" s="7">
        <v>240</v>
      </c>
      <c r="I341" s="7" t="s">
        <v>1018</v>
      </c>
      <c r="J341" s="7">
        <v>240</v>
      </c>
      <c r="K341" s="7" t="s">
        <v>359</v>
      </c>
      <c r="L341" s="7">
        <v>420.1459930697639</v>
      </c>
      <c r="P341" s="8"/>
      <c r="V341" s="7">
        <v>37</v>
      </c>
    </row>
    <row r="342" spans="1:22">
      <c r="A342" s="7" t="s">
        <v>1019</v>
      </c>
      <c r="B342" s="9" t="s">
        <v>1020</v>
      </c>
      <c r="C342" s="7">
        <v>240</v>
      </c>
      <c r="D342" s="7">
        <v>2.7</v>
      </c>
      <c r="E342" s="7">
        <v>36.5</v>
      </c>
      <c r="F342" s="7">
        <v>84.5</v>
      </c>
      <c r="G342" s="7" t="s">
        <v>725</v>
      </c>
      <c r="H342" s="7">
        <v>240</v>
      </c>
      <c r="I342" s="7" t="s">
        <v>1021</v>
      </c>
      <c r="J342" s="7">
        <v>240</v>
      </c>
      <c r="K342" s="7" t="s">
        <v>359</v>
      </c>
      <c r="L342" s="7">
        <v>246.1358907092814</v>
      </c>
      <c r="P342" s="8"/>
      <c r="V342" s="7">
        <v>37</v>
      </c>
    </row>
    <row r="343" spans="1:22">
      <c r="A343" s="7" t="s">
        <v>1022</v>
      </c>
      <c r="B343" s="9" t="s">
        <v>1023</v>
      </c>
      <c r="C343" s="7">
        <v>240</v>
      </c>
      <c r="D343" s="7">
        <v>2.7</v>
      </c>
      <c r="E343" s="7">
        <v>36.5</v>
      </c>
      <c r="F343" s="7">
        <v>80.5</v>
      </c>
      <c r="G343" s="7" t="s">
        <v>760</v>
      </c>
      <c r="H343" s="7">
        <v>240</v>
      </c>
      <c r="I343" s="7" t="s">
        <v>1024</v>
      </c>
      <c r="J343" s="7">
        <v>240</v>
      </c>
      <c r="K343" s="7" t="s">
        <v>480</v>
      </c>
      <c r="L343" s="7">
        <v>224.45837079174154</v>
      </c>
      <c r="P343" s="8"/>
      <c r="V343" s="7">
        <v>37</v>
      </c>
    </row>
    <row r="344" spans="1:22">
      <c r="A344" s="7" t="s">
        <v>1025</v>
      </c>
      <c r="B344" s="9" t="s">
        <v>1026</v>
      </c>
      <c r="C344" s="7">
        <v>240</v>
      </c>
      <c r="D344" s="7">
        <v>2.7</v>
      </c>
      <c r="E344" s="7">
        <v>36.5</v>
      </c>
      <c r="F344" s="7">
        <v>84.5</v>
      </c>
      <c r="G344" s="7" t="s">
        <v>725</v>
      </c>
      <c r="H344" s="7">
        <v>240</v>
      </c>
      <c r="I344" s="7" t="s">
        <v>1027</v>
      </c>
      <c r="J344" s="7">
        <v>240</v>
      </c>
      <c r="K344" s="7" t="s">
        <v>480</v>
      </c>
      <c r="L344" s="7">
        <v>235.43433024366047</v>
      </c>
      <c r="P344" s="8"/>
      <c r="V344" s="7">
        <v>37</v>
      </c>
    </row>
    <row r="345" spans="1:22">
      <c r="A345" s="7" t="s">
        <v>1028</v>
      </c>
      <c r="B345" s="9" t="s">
        <v>1029</v>
      </c>
      <c r="C345" s="7">
        <v>240</v>
      </c>
      <c r="D345" s="7">
        <v>2.7</v>
      </c>
      <c r="E345" s="7">
        <v>36.5</v>
      </c>
      <c r="F345" s="7">
        <v>84.5</v>
      </c>
      <c r="G345" s="7" t="s">
        <v>725</v>
      </c>
      <c r="H345" s="7">
        <v>240</v>
      </c>
      <c r="I345" s="7" t="s">
        <v>1030</v>
      </c>
      <c r="J345" s="7">
        <v>240</v>
      </c>
      <c r="K345" s="7" t="s">
        <v>480</v>
      </c>
      <c r="L345" s="7">
        <v>235.43433024366047</v>
      </c>
      <c r="P345" s="8"/>
      <c r="V345" s="7">
        <v>37</v>
      </c>
    </row>
    <row r="346" spans="1:22">
      <c r="A346" s="7" t="s">
        <v>1031</v>
      </c>
      <c r="B346" s="9" t="s">
        <v>1032</v>
      </c>
      <c r="C346" s="7">
        <v>240</v>
      </c>
      <c r="D346" s="7">
        <v>2.7</v>
      </c>
      <c r="E346" s="7">
        <v>36.5</v>
      </c>
      <c r="F346" s="7">
        <v>96.5</v>
      </c>
      <c r="G346" s="7" t="s">
        <v>729</v>
      </c>
      <c r="H346" s="7">
        <v>240</v>
      </c>
      <c r="I346" s="7" t="s">
        <v>1033</v>
      </c>
      <c r="J346" s="7">
        <v>240</v>
      </c>
      <c r="K346" s="7" t="s">
        <v>480</v>
      </c>
      <c r="L346" s="7">
        <v>269.13052576105156</v>
      </c>
      <c r="P346" s="8"/>
      <c r="V346" s="7">
        <v>37</v>
      </c>
    </row>
    <row r="347" spans="1:22">
      <c r="A347" s="7" t="s">
        <v>1034</v>
      </c>
      <c r="B347" s="9" t="s">
        <v>1035</v>
      </c>
      <c r="C347" s="7">
        <v>240</v>
      </c>
      <c r="D347" s="7">
        <v>2.7</v>
      </c>
      <c r="E347" s="7">
        <v>36.5</v>
      </c>
      <c r="F347" s="7">
        <v>96.5</v>
      </c>
      <c r="G347" s="7" t="s">
        <v>729</v>
      </c>
      <c r="H347" s="7">
        <v>240</v>
      </c>
      <c r="I347" s="7" t="s">
        <v>1036</v>
      </c>
      <c r="J347" s="7">
        <v>240</v>
      </c>
      <c r="K347" s="7" t="s">
        <v>480</v>
      </c>
      <c r="L347" s="7">
        <v>269.13052576105156</v>
      </c>
      <c r="P347" s="8"/>
      <c r="V347" s="7">
        <v>37</v>
      </c>
    </row>
    <row r="348" spans="1:22">
      <c r="A348" s="7" t="s">
        <v>1037</v>
      </c>
      <c r="B348" s="9" t="s">
        <v>1038</v>
      </c>
      <c r="C348" s="7">
        <v>240</v>
      </c>
      <c r="D348" s="7">
        <v>2.7</v>
      </c>
      <c r="E348" s="7">
        <v>36.5</v>
      </c>
      <c r="F348" s="7">
        <v>108.5</v>
      </c>
      <c r="G348" s="7" t="s">
        <v>733</v>
      </c>
      <c r="H348" s="7">
        <v>240</v>
      </c>
      <c r="I348" s="7" t="s">
        <v>1039</v>
      </c>
      <c r="J348" s="7">
        <v>240</v>
      </c>
      <c r="K348" s="7" t="s">
        <v>480</v>
      </c>
      <c r="L348" s="7">
        <v>302.3876829003658</v>
      </c>
      <c r="P348" s="8"/>
      <c r="V348" s="7">
        <v>37</v>
      </c>
    </row>
    <row r="349" spans="1:22">
      <c r="A349" s="7" t="s">
        <v>1040</v>
      </c>
      <c r="B349" s="9" t="s">
        <v>1041</v>
      </c>
      <c r="C349" s="7">
        <v>240</v>
      </c>
      <c r="D349" s="7">
        <v>2.7</v>
      </c>
      <c r="E349" s="7">
        <v>48.5</v>
      </c>
      <c r="F349" s="7">
        <v>84.5</v>
      </c>
      <c r="G349" s="7" t="s">
        <v>785</v>
      </c>
      <c r="H349" s="7">
        <v>240</v>
      </c>
      <c r="I349" s="7" t="s">
        <v>1042</v>
      </c>
      <c r="J349" s="7">
        <v>240</v>
      </c>
      <c r="K349" s="7" t="s">
        <v>480</v>
      </c>
      <c r="L349" s="7">
        <v>312.89654245975157</v>
      </c>
      <c r="P349" s="8"/>
      <c r="V349" s="7">
        <v>37</v>
      </c>
    </row>
    <row r="350" spans="1:22">
      <c r="A350" s="7" t="s">
        <v>1043</v>
      </c>
      <c r="B350" s="9" t="s">
        <v>1044</v>
      </c>
      <c r="C350" s="7">
        <v>240</v>
      </c>
      <c r="D350" s="7">
        <v>2.7</v>
      </c>
      <c r="E350" s="7">
        <v>48.5</v>
      </c>
      <c r="F350" s="7">
        <v>96.5</v>
      </c>
      <c r="G350" s="7" t="s">
        <v>737</v>
      </c>
      <c r="H350" s="7">
        <v>240</v>
      </c>
      <c r="I350" s="7" t="s">
        <v>1045</v>
      </c>
      <c r="J350" s="7">
        <v>240</v>
      </c>
      <c r="K350" s="7" t="s">
        <v>480</v>
      </c>
      <c r="L350" s="7">
        <v>357.67940424769745</v>
      </c>
      <c r="P350" s="8"/>
      <c r="V350" s="7">
        <v>37</v>
      </c>
    </row>
    <row r="351" spans="1:22">
      <c r="A351" s="7" t="s">
        <v>1046</v>
      </c>
      <c r="B351" s="9" t="s">
        <v>1047</v>
      </c>
      <c r="C351" s="7">
        <v>240</v>
      </c>
      <c r="D351" s="7">
        <v>2.7</v>
      </c>
      <c r="E351" s="7">
        <v>48.5</v>
      </c>
      <c r="F351" s="7">
        <v>108.5</v>
      </c>
      <c r="G351" s="7" t="s">
        <v>792</v>
      </c>
      <c r="H351" s="7">
        <v>240</v>
      </c>
      <c r="I351" s="7" t="s">
        <v>1048</v>
      </c>
      <c r="J351" s="7">
        <v>240</v>
      </c>
      <c r="K351" s="7" t="s">
        <v>480</v>
      </c>
      <c r="L351" s="7">
        <v>401.87877597977416</v>
      </c>
      <c r="P351" s="8"/>
      <c r="V351" s="7">
        <v>37</v>
      </c>
    </row>
    <row r="352" spans="1:22">
      <c r="A352" s="7" t="s">
        <v>1049</v>
      </c>
      <c r="B352" s="9" t="s">
        <v>1050</v>
      </c>
      <c r="C352" s="7">
        <v>240</v>
      </c>
      <c r="D352" s="7">
        <v>2.7</v>
      </c>
      <c r="E352" s="7">
        <v>36.5</v>
      </c>
      <c r="F352" s="7">
        <v>96.5</v>
      </c>
      <c r="G352" s="7" t="s">
        <v>729</v>
      </c>
      <c r="H352" s="7">
        <v>240</v>
      </c>
      <c r="I352" s="7" t="s">
        <v>1051</v>
      </c>
      <c r="J352" s="7">
        <v>240</v>
      </c>
      <c r="K352" s="7" t="s">
        <v>480</v>
      </c>
      <c r="L352" s="7">
        <v>269.13052576105156</v>
      </c>
      <c r="P352" s="8"/>
      <c r="V352" s="7">
        <v>37</v>
      </c>
    </row>
    <row r="353" spans="1:22">
      <c r="A353" s="7" t="s">
        <v>1052</v>
      </c>
      <c r="B353" s="9" t="s">
        <v>1053</v>
      </c>
      <c r="C353" s="7">
        <v>240</v>
      </c>
      <c r="D353" s="7">
        <v>2.7</v>
      </c>
      <c r="E353" s="7">
        <v>36.5</v>
      </c>
      <c r="F353" s="7">
        <v>108.5</v>
      </c>
      <c r="G353" s="7" t="s">
        <v>733</v>
      </c>
      <c r="H353" s="7">
        <v>240</v>
      </c>
      <c r="I353" s="7" t="s">
        <v>1054</v>
      </c>
      <c r="J353" s="7">
        <v>240</v>
      </c>
      <c r="K353" s="7" t="s">
        <v>480</v>
      </c>
      <c r="L353" s="7">
        <v>302.3876829003658</v>
      </c>
      <c r="P353" s="8"/>
      <c r="V353" s="7">
        <v>37</v>
      </c>
    </row>
    <row r="354" spans="1:22">
      <c r="A354" s="7" t="s">
        <v>1055</v>
      </c>
      <c r="B354" s="9" t="s">
        <v>1056</v>
      </c>
      <c r="C354" s="7">
        <v>240</v>
      </c>
      <c r="D354" s="7">
        <v>2.7</v>
      </c>
      <c r="E354" s="7">
        <v>36.5</v>
      </c>
      <c r="F354" s="7">
        <v>84.5</v>
      </c>
      <c r="G354" s="7" t="s">
        <v>725</v>
      </c>
      <c r="H354" s="7">
        <v>240</v>
      </c>
      <c r="I354" s="7" t="s">
        <v>1057</v>
      </c>
      <c r="J354" s="7">
        <v>240</v>
      </c>
      <c r="K354" s="7" t="s">
        <v>56</v>
      </c>
      <c r="L354" s="7">
        <v>235.43433024366047</v>
      </c>
      <c r="P354" s="8"/>
      <c r="V354" s="7">
        <v>37</v>
      </c>
    </row>
    <row r="355" spans="1:22">
      <c r="A355" s="7" t="s">
        <v>1058</v>
      </c>
      <c r="B355" s="9" t="s">
        <v>1059</v>
      </c>
      <c r="C355" s="7">
        <v>240</v>
      </c>
      <c r="D355" s="7">
        <v>2.7</v>
      </c>
      <c r="E355" s="7">
        <v>36.5</v>
      </c>
      <c r="F355" s="7">
        <v>96.5</v>
      </c>
      <c r="G355" s="7" t="s">
        <v>729</v>
      </c>
      <c r="H355" s="7">
        <v>240</v>
      </c>
      <c r="I355" s="7" t="s">
        <v>1060</v>
      </c>
      <c r="J355" s="7">
        <v>240</v>
      </c>
      <c r="K355" s="7" t="s">
        <v>56</v>
      </c>
      <c r="L355" s="7">
        <v>269.13052576105156</v>
      </c>
      <c r="P355" s="8"/>
      <c r="V355" s="7">
        <v>37</v>
      </c>
    </row>
    <row r="356" spans="1:22">
      <c r="A356" s="7" t="s">
        <v>1061</v>
      </c>
      <c r="B356" s="9" t="s">
        <v>1062</v>
      </c>
      <c r="C356" s="7">
        <v>240</v>
      </c>
      <c r="D356" s="7">
        <v>2.7</v>
      </c>
      <c r="E356" s="7">
        <v>36.5</v>
      </c>
      <c r="F356" s="7">
        <v>108.5</v>
      </c>
      <c r="G356" s="7" t="s">
        <v>733</v>
      </c>
      <c r="H356" s="7">
        <v>240</v>
      </c>
      <c r="I356" s="7" t="s">
        <v>1063</v>
      </c>
      <c r="J356" s="7">
        <v>240</v>
      </c>
      <c r="K356" s="7" t="s">
        <v>56</v>
      </c>
      <c r="L356" s="7">
        <v>302.3876829003658</v>
      </c>
      <c r="P356" s="8"/>
      <c r="V356" s="7">
        <v>37</v>
      </c>
    </row>
    <row r="357" spans="1:22">
      <c r="A357" s="7" t="s">
        <v>1064</v>
      </c>
      <c r="B357" s="9" t="s">
        <v>1065</v>
      </c>
      <c r="C357" s="7">
        <v>240</v>
      </c>
      <c r="D357" s="7">
        <v>2.7</v>
      </c>
      <c r="E357" s="7">
        <v>48.5</v>
      </c>
      <c r="F357" s="7">
        <v>96.5</v>
      </c>
      <c r="G357" s="7" t="s">
        <v>737</v>
      </c>
      <c r="H357" s="7">
        <v>240</v>
      </c>
      <c r="I357" s="7" t="s">
        <v>1066</v>
      </c>
      <c r="J357" s="7">
        <v>240</v>
      </c>
      <c r="K357" s="7" t="s">
        <v>56</v>
      </c>
      <c r="L357" s="7">
        <v>357.67940424769745</v>
      </c>
      <c r="P357" s="8"/>
      <c r="V357" s="7">
        <v>37</v>
      </c>
    </row>
    <row r="358" spans="1:22">
      <c r="A358" s="7" t="s">
        <v>1067</v>
      </c>
      <c r="B358" s="9" t="s">
        <v>1068</v>
      </c>
      <c r="C358" s="7">
        <v>240</v>
      </c>
      <c r="D358" s="7">
        <v>2.7</v>
      </c>
      <c r="E358" s="7">
        <v>36.5</v>
      </c>
      <c r="F358" s="7">
        <v>84.5</v>
      </c>
      <c r="G358" s="7" t="s">
        <v>725</v>
      </c>
      <c r="H358" s="7">
        <v>240</v>
      </c>
      <c r="I358" s="7" t="s">
        <v>1069</v>
      </c>
      <c r="J358" s="7">
        <v>240</v>
      </c>
      <c r="K358" s="7" t="s">
        <v>56</v>
      </c>
      <c r="L358" s="7">
        <v>235.43433024366047</v>
      </c>
      <c r="P358" s="8"/>
      <c r="V358" s="7">
        <v>37</v>
      </c>
    </row>
    <row r="359" spans="1:22">
      <c r="A359" s="7" t="s">
        <v>1070</v>
      </c>
      <c r="B359" s="9" t="s">
        <v>1071</v>
      </c>
      <c r="C359" s="7">
        <v>240</v>
      </c>
      <c r="D359" s="7">
        <v>2.7</v>
      </c>
      <c r="E359" s="7">
        <v>36.5</v>
      </c>
      <c r="F359" s="7">
        <v>96.5</v>
      </c>
      <c r="G359" s="7" t="s">
        <v>729</v>
      </c>
      <c r="H359" s="7">
        <v>240</v>
      </c>
      <c r="I359" s="7" t="s">
        <v>1072</v>
      </c>
      <c r="J359" s="7">
        <v>240</v>
      </c>
      <c r="K359" s="7" t="s">
        <v>56</v>
      </c>
      <c r="L359" s="7">
        <v>269.13052576105156</v>
      </c>
      <c r="P359" s="8"/>
      <c r="V359" s="7">
        <v>37</v>
      </c>
    </row>
    <row r="360" spans="1:22">
      <c r="A360" s="7" t="s">
        <v>1073</v>
      </c>
      <c r="B360" s="9" t="s">
        <v>1074</v>
      </c>
      <c r="C360" s="7">
        <v>240</v>
      </c>
      <c r="D360" s="7">
        <v>2.7</v>
      </c>
      <c r="E360" s="7">
        <v>36.5</v>
      </c>
      <c r="F360" s="7">
        <v>96.5</v>
      </c>
      <c r="G360" s="7" t="s">
        <v>729</v>
      </c>
      <c r="H360" s="7">
        <v>240</v>
      </c>
      <c r="I360" s="7" t="s">
        <v>1075</v>
      </c>
      <c r="J360" s="7">
        <v>240</v>
      </c>
      <c r="K360" s="7" t="s">
        <v>56</v>
      </c>
      <c r="L360" s="7">
        <v>269.13052576105156</v>
      </c>
      <c r="P360" s="8"/>
      <c r="V360" s="7">
        <v>37</v>
      </c>
    </row>
    <row r="361" spans="1:22">
      <c r="A361" s="7" t="s">
        <v>1076</v>
      </c>
      <c r="B361" s="9" t="s">
        <v>1077</v>
      </c>
      <c r="C361" s="7">
        <v>240</v>
      </c>
      <c r="D361" s="7">
        <v>2.7</v>
      </c>
      <c r="E361" s="7">
        <v>36.5</v>
      </c>
      <c r="F361" s="7">
        <v>108.5</v>
      </c>
      <c r="G361" s="7" t="s">
        <v>733</v>
      </c>
      <c r="H361" s="7">
        <v>240</v>
      </c>
      <c r="I361" s="7" t="s">
        <v>1078</v>
      </c>
      <c r="J361" s="7">
        <v>240</v>
      </c>
      <c r="K361" s="7" t="s">
        <v>56</v>
      </c>
      <c r="L361" s="7">
        <v>302.3876829003658</v>
      </c>
      <c r="P361" s="8"/>
      <c r="V361" s="7">
        <v>37</v>
      </c>
    </row>
    <row r="362" spans="1:22">
      <c r="A362" s="7" t="s">
        <v>1079</v>
      </c>
      <c r="B362" s="9" t="s">
        <v>1080</v>
      </c>
      <c r="C362" s="7">
        <v>240</v>
      </c>
      <c r="D362" s="7">
        <v>2.7</v>
      </c>
      <c r="E362" s="7">
        <v>48.5</v>
      </c>
      <c r="F362" s="7">
        <v>96.5</v>
      </c>
      <c r="G362" s="7" t="s">
        <v>737</v>
      </c>
      <c r="H362" s="7">
        <v>240</v>
      </c>
      <c r="I362" s="7" t="s">
        <v>1081</v>
      </c>
      <c r="J362" s="7">
        <v>240</v>
      </c>
      <c r="K362" s="7" t="s">
        <v>56</v>
      </c>
      <c r="L362" s="7">
        <v>357.67940424769745</v>
      </c>
      <c r="P362" s="8"/>
      <c r="V362" s="7">
        <v>37</v>
      </c>
    </row>
    <row r="363" spans="1:22">
      <c r="A363" s="7" t="s">
        <v>1082</v>
      </c>
      <c r="B363" s="9" t="s">
        <v>1083</v>
      </c>
      <c r="C363" s="7">
        <v>240</v>
      </c>
      <c r="D363" s="7">
        <v>2.7</v>
      </c>
      <c r="E363" s="7">
        <v>48.5</v>
      </c>
      <c r="F363" s="7">
        <v>96.5</v>
      </c>
      <c r="G363" s="7" t="s">
        <v>737</v>
      </c>
      <c r="H363" s="7">
        <v>240</v>
      </c>
      <c r="I363" s="7" t="s">
        <v>1084</v>
      </c>
      <c r="J363" s="7">
        <v>240</v>
      </c>
      <c r="K363" s="7" t="s">
        <v>56</v>
      </c>
      <c r="L363" s="7">
        <v>357.67940424769745</v>
      </c>
      <c r="P363" s="8"/>
      <c r="V363" s="7">
        <v>37</v>
      </c>
    </row>
    <row r="364" spans="1:22">
      <c r="A364" s="7" t="s">
        <v>1085</v>
      </c>
      <c r="B364" s="9" t="s">
        <v>1086</v>
      </c>
      <c r="C364" s="7">
        <v>240</v>
      </c>
      <c r="D364" s="7">
        <v>2.7</v>
      </c>
      <c r="E364" s="7">
        <v>48.5</v>
      </c>
      <c r="F364" s="7">
        <v>96.5</v>
      </c>
      <c r="G364" s="7" t="s">
        <v>737</v>
      </c>
      <c r="H364" s="7">
        <v>240</v>
      </c>
      <c r="I364" s="7" t="s">
        <v>1087</v>
      </c>
      <c r="J364" s="7">
        <v>240</v>
      </c>
      <c r="K364" s="7" t="s">
        <v>56</v>
      </c>
      <c r="L364" s="7">
        <v>357.67940424769745</v>
      </c>
      <c r="P364" s="8"/>
      <c r="V364" s="7">
        <v>37</v>
      </c>
    </row>
    <row r="365" spans="1:22">
      <c r="A365" s="7" t="s">
        <v>1088</v>
      </c>
      <c r="B365" s="9" t="s">
        <v>1089</v>
      </c>
      <c r="C365" s="7">
        <v>240</v>
      </c>
      <c r="D365" s="7">
        <v>2.7</v>
      </c>
      <c r="E365" s="7">
        <v>36.5</v>
      </c>
      <c r="F365" s="7">
        <v>84.5</v>
      </c>
      <c r="G365" s="7" t="s">
        <v>725</v>
      </c>
      <c r="H365" s="7">
        <v>240</v>
      </c>
      <c r="I365" s="7" t="s">
        <v>1090</v>
      </c>
      <c r="J365" s="7">
        <v>240</v>
      </c>
      <c r="K365" s="7" t="s">
        <v>56</v>
      </c>
      <c r="L365" s="7">
        <v>230.08355001085002</v>
      </c>
      <c r="P365" s="8"/>
      <c r="V365" s="7">
        <v>37</v>
      </c>
    </row>
    <row r="366" spans="1:22">
      <c r="A366" s="7" t="s">
        <v>1091</v>
      </c>
      <c r="B366" s="9" t="s">
        <v>1092</v>
      </c>
      <c r="C366" s="7">
        <v>240</v>
      </c>
      <c r="D366" s="7">
        <v>2.7</v>
      </c>
      <c r="E366" s="7">
        <v>36.5</v>
      </c>
      <c r="F366" s="7">
        <v>96.5</v>
      </c>
      <c r="G366" s="7" t="s">
        <v>729</v>
      </c>
      <c r="H366" s="7">
        <v>240</v>
      </c>
      <c r="I366" s="7" t="s">
        <v>1093</v>
      </c>
      <c r="J366" s="7">
        <v>240</v>
      </c>
      <c r="K366" s="7" t="s">
        <v>56</v>
      </c>
      <c r="L366" s="7">
        <v>263.01392290284582</v>
      </c>
      <c r="P366" s="8"/>
      <c r="V366" s="7">
        <v>37</v>
      </c>
    </row>
    <row r="367" spans="1:22">
      <c r="A367" s="7" t="s">
        <v>1094</v>
      </c>
      <c r="B367" s="9" t="s">
        <v>1095</v>
      </c>
      <c r="C367" s="7">
        <v>240</v>
      </c>
      <c r="D367" s="7">
        <v>2.7</v>
      </c>
      <c r="E367" s="7">
        <v>36.5</v>
      </c>
      <c r="F367" s="7">
        <v>108.5</v>
      </c>
      <c r="G367" s="7" t="s">
        <v>733</v>
      </c>
      <c r="H367" s="7">
        <v>240</v>
      </c>
      <c r="I367" s="7" t="s">
        <v>1096</v>
      </c>
      <c r="J367" s="7">
        <v>240</v>
      </c>
      <c r="K367" s="7" t="s">
        <v>56</v>
      </c>
      <c r="L367" s="7">
        <v>295.51523556172111</v>
      </c>
      <c r="P367" s="8"/>
      <c r="V367" s="7">
        <v>37</v>
      </c>
    </row>
    <row r="368" spans="1:22">
      <c r="A368" s="7" t="s">
        <v>1097</v>
      </c>
      <c r="B368" s="9" t="s">
        <v>1098</v>
      </c>
      <c r="C368" s="7">
        <v>240</v>
      </c>
      <c r="D368" s="7">
        <v>2.7</v>
      </c>
      <c r="E368" s="7">
        <v>36.5</v>
      </c>
      <c r="F368" s="7">
        <v>108.5</v>
      </c>
      <c r="G368" s="7" t="s">
        <v>733</v>
      </c>
      <c r="H368" s="7">
        <v>240</v>
      </c>
      <c r="I368" s="7" t="s">
        <v>1099</v>
      </c>
      <c r="J368" s="7">
        <v>240</v>
      </c>
      <c r="K368" s="7" t="s">
        <v>56</v>
      </c>
      <c r="L368" s="7">
        <v>295.51523556172111</v>
      </c>
      <c r="P368" s="8"/>
      <c r="V368" s="7">
        <v>37</v>
      </c>
    </row>
    <row r="369" spans="1:22">
      <c r="A369" s="7" t="s">
        <v>1100</v>
      </c>
      <c r="B369" s="9" t="s">
        <v>1095</v>
      </c>
      <c r="C369" s="7">
        <v>240</v>
      </c>
      <c r="D369" s="7">
        <v>2.7</v>
      </c>
      <c r="E369" s="7">
        <v>36.5</v>
      </c>
      <c r="F369" s="7">
        <v>108.5</v>
      </c>
      <c r="G369" s="7" t="s">
        <v>733</v>
      </c>
      <c r="H369" s="7">
        <v>240</v>
      </c>
      <c r="I369" s="7" t="s">
        <v>1096</v>
      </c>
      <c r="J369" s="7">
        <v>240</v>
      </c>
      <c r="K369" s="7" t="s">
        <v>56</v>
      </c>
      <c r="L369" s="7">
        <v>295.51523556172111</v>
      </c>
      <c r="P369" s="8"/>
      <c r="V369" s="7">
        <v>37</v>
      </c>
    </row>
    <row r="370" spans="1:22">
      <c r="A370" s="7" t="s">
        <v>1101</v>
      </c>
      <c r="B370" s="9" t="s">
        <v>1102</v>
      </c>
      <c r="C370" s="7">
        <v>240</v>
      </c>
      <c r="D370" s="7">
        <v>2.7</v>
      </c>
      <c r="E370" s="7">
        <v>48.5</v>
      </c>
      <c r="F370" s="7">
        <v>96.5</v>
      </c>
      <c r="G370" s="7" t="s">
        <v>737</v>
      </c>
      <c r="H370" s="7">
        <v>240</v>
      </c>
      <c r="I370" s="7" t="s">
        <v>1103</v>
      </c>
      <c r="J370" s="7">
        <v>240</v>
      </c>
      <c r="K370" s="7" t="s">
        <v>56</v>
      </c>
      <c r="L370" s="7">
        <v>349.55032687843158</v>
      </c>
      <c r="P370" s="8"/>
      <c r="V370" s="7">
        <v>37</v>
      </c>
    </row>
    <row r="371" spans="1:22">
      <c r="A371" s="7" t="s">
        <v>1104</v>
      </c>
      <c r="B371" s="9" t="s">
        <v>1105</v>
      </c>
      <c r="C371" s="7">
        <v>240</v>
      </c>
      <c r="D371" s="7">
        <v>2.7</v>
      </c>
      <c r="E371" s="7">
        <v>48.5</v>
      </c>
      <c r="F371" s="7">
        <v>108.5</v>
      </c>
      <c r="G371" s="7" t="s">
        <v>792</v>
      </c>
      <c r="H371" s="7">
        <v>240</v>
      </c>
      <c r="I371" s="7" t="s">
        <v>1106</v>
      </c>
      <c r="J371" s="7">
        <v>240</v>
      </c>
      <c r="K371" s="7" t="s">
        <v>56</v>
      </c>
      <c r="L371" s="7">
        <v>392.74516743477932</v>
      </c>
      <c r="P371" s="8"/>
      <c r="V371" s="7">
        <v>37</v>
      </c>
    </row>
    <row r="372" spans="1:22">
      <c r="A372" s="51" t="s">
        <v>2558</v>
      </c>
      <c r="B372" s="52" t="s">
        <v>2570</v>
      </c>
      <c r="C372" s="7">
        <v>210</v>
      </c>
      <c r="D372" s="7">
        <v>5</v>
      </c>
      <c r="E372" s="7">
        <v>48</v>
      </c>
      <c r="F372" s="7">
        <v>96</v>
      </c>
      <c r="G372" s="7" t="s">
        <v>2565</v>
      </c>
      <c r="H372" s="7">
        <v>210</v>
      </c>
      <c r="I372" s="7" t="s">
        <v>2566</v>
      </c>
      <c r="J372" s="7">
        <v>756</v>
      </c>
      <c r="K372" s="7" t="s">
        <v>102</v>
      </c>
      <c r="L372" s="7">
        <v>240.31506396346131</v>
      </c>
      <c r="V372" s="7" t="s">
        <v>2564</v>
      </c>
    </row>
    <row r="373" spans="1:22">
      <c r="A373" s="51" t="s">
        <v>2559</v>
      </c>
      <c r="B373" s="52" t="s">
        <v>2571</v>
      </c>
      <c r="C373" s="7">
        <v>210</v>
      </c>
      <c r="D373" s="7">
        <v>5</v>
      </c>
      <c r="E373" s="7">
        <v>48</v>
      </c>
      <c r="F373" s="7">
        <v>96</v>
      </c>
      <c r="G373" s="7" t="s">
        <v>2565</v>
      </c>
      <c r="H373" s="7">
        <v>210</v>
      </c>
      <c r="I373" s="7" t="s">
        <v>270</v>
      </c>
      <c r="J373" s="7">
        <v>756</v>
      </c>
      <c r="K373" s="7" t="s">
        <v>102</v>
      </c>
      <c r="L373" s="7">
        <v>296.38857888826897</v>
      </c>
      <c r="V373" s="7" t="s">
        <v>2564</v>
      </c>
    </row>
    <row r="374" spans="1:22">
      <c r="A374" s="51" t="s">
        <v>2560</v>
      </c>
      <c r="B374" s="52" t="s">
        <v>2573</v>
      </c>
      <c r="C374" s="7">
        <v>210</v>
      </c>
      <c r="D374" s="7">
        <v>5</v>
      </c>
      <c r="E374" s="7">
        <v>48</v>
      </c>
      <c r="F374" s="7">
        <v>96</v>
      </c>
      <c r="G374" s="7" t="s">
        <v>2565</v>
      </c>
      <c r="H374" s="7">
        <v>210</v>
      </c>
      <c r="I374" s="7" t="s">
        <v>270</v>
      </c>
      <c r="J374" s="7">
        <v>756</v>
      </c>
      <c r="K374" s="7" t="s">
        <v>102</v>
      </c>
      <c r="L374" s="7">
        <v>296.38857888826897</v>
      </c>
      <c r="V374" s="7" t="s">
        <v>2564</v>
      </c>
    </row>
    <row r="375" spans="1:22">
      <c r="A375" s="51" t="s">
        <v>2561</v>
      </c>
      <c r="B375" s="52" t="s">
        <v>2572</v>
      </c>
      <c r="C375" s="7">
        <v>210</v>
      </c>
      <c r="D375" s="7">
        <v>5</v>
      </c>
      <c r="E375" s="7">
        <v>48</v>
      </c>
      <c r="F375" s="7">
        <v>96</v>
      </c>
      <c r="G375" s="7" t="s">
        <v>2565</v>
      </c>
      <c r="H375" s="7">
        <v>210</v>
      </c>
      <c r="I375" s="7" t="s">
        <v>2567</v>
      </c>
      <c r="J375" s="7">
        <v>756</v>
      </c>
      <c r="K375" s="7" t="s">
        <v>232</v>
      </c>
      <c r="L375" s="7">
        <v>240.31506396346131</v>
      </c>
      <c r="V375" s="7" t="s">
        <v>2564</v>
      </c>
    </row>
    <row r="376" spans="1:22">
      <c r="A376" s="51" t="s">
        <v>2562</v>
      </c>
      <c r="B376" s="52" t="s">
        <v>2574</v>
      </c>
      <c r="C376" s="7">
        <v>210</v>
      </c>
      <c r="D376" s="7">
        <v>5</v>
      </c>
      <c r="E376" s="7">
        <v>48</v>
      </c>
      <c r="F376" s="7">
        <v>96</v>
      </c>
      <c r="G376" s="7" t="s">
        <v>2565</v>
      </c>
      <c r="H376" s="7">
        <v>210</v>
      </c>
      <c r="I376" s="7" t="s">
        <v>2568</v>
      </c>
      <c r="J376" s="7">
        <v>756</v>
      </c>
      <c r="K376" s="7" t="s">
        <v>301</v>
      </c>
      <c r="L376" s="7">
        <v>296.38857888826897</v>
      </c>
      <c r="V376" s="7" t="s">
        <v>2564</v>
      </c>
    </row>
    <row r="377" spans="1:22">
      <c r="A377" s="51" t="s">
        <v>2563</v>
      </c>
      <c r="B377" s="52" t="s">
        <v>2575</v>
      </c>
      <c r="C377" s="7">
        <v>210</v>
      </c>
      <c r="D377" s="7">
        <v>5</v>
      </c>
      <c r="E377" s="7">
        <v>48</v>
      </c>
      <c r="F377" s="7">
        <v>96</v>
      </c>
      <c r="G377" s="7" t="s">
        <v>2565</v>
      </c>
      <c r="H377" s="7">
        <v>210</v>
      </c>
      <c r="I377" s="7" t="s">
        <v>2569</v>
      </c>
      <c r="J377" s="7">
        <v>756</v>
      </c>
      <c r="K377" s="7" t="s">
        <v>301</v>
      </c>
      <c r="L377" s="7">
        <v>240.31506396346131</v>
      </c>
      <c r="V377" s="7" t="s">
        <v>2564</v>
      </c>
    </row>
    <row r="378" spans="1:22">
      <c r="A378" s="7" t="s">
        <v>2576</v>
      </c>
      <c r="B378" s="10" t="s">
        <v>2689</v>
      </c>
      <c r="C378" s="7">
        <v>220</v>
      </c>
      <c r="D378" s="7">
        <f>VLOOKUP(A378,'UV-CODE'!A:J,4,FALSE)</f>
        <v>3</v>
      </c>
      <c r="E378" s="7">
        <f>VLOOKUP(A378,'UV-CODE'!A:J,7,FALSE)</f>
        <v>730</v>
      </c>
      <c r="F378" s="7">
        <f>VLOOKUP(A378,'UV-CODE'!A:J,8,FALSE)</f>
        <v>2050</v>
      </c>
      <c r="G378" s="7" t="s">
        <v>2699</v>
      </c>
      <c r="H378" s="7">
        <f>C378</f>
        <v>220</v>
      </c>
      <c r="Q378" s="7" t="s">
        <v>2709</v>
      </c>
      <c r="R378" s="8">
        <v>25.399909730892553</v>
      </c>
      <c r="S378" s="7" t="s">
        <v>2710</v>
      </c>
      <c r="T378" s="8">
        <v>32.94089718114197</v>
      </c>
      <c r="V378" s="7" t="s">
        <v>2616</v>
      </c>
    </row>
    <row r="379" spans="1:22">
      <c r="A379" s="7" t="s">
        <v>2577</v>
      </c>
      <c r="B379" s="10" t="s">
        <v>2690</v>
      </c>
      <c r="C379" s="7">
        <v>220</v>
      </c>
      <c r="D379" s="7">
        <f>VLOOKUP(A379,'UV-CODE'!A:J,4,FALSE)</f>
        <v>3</v>
      </c>
      <c r="E379" s="7">
        <f>VLOOKUP(A379,'UV-CODE'!A:J,7,FALSE)</f>
        <v>780</v>
      </c>
      <c r="F379" s="7">
        <f>VLOOKUP(A379,'UV-CODE'!A:J,8,FALSE)</f>
        <v>2050</v>
      </c>
      <c r="G379" s="7" t="s">
        <v>2700</v>
      </c>
      <c r="H379" s="7">
        <f t="shared" ref="H379:H387" si="0">C379</f>
        <v>220</v>
      </c>
      <c r="Q379" s="7" t="s">
        <v>2709</v>
      </c>
      <c r="R379" s="8">
        <v>24.687611129504958</v>
      </c>
      <c r="S379" s="7" t="s">
        <v>2710</v>
      </c>
      <c r="T379" s="8">
        <v>52.597211492476916</v>
      </c>
      <c r="V379" s="7" t="s">
        <v>2616</v>
      </c>
    </row>
    <row r="380" spans="1:22">
      <c r="A380" s="7" t="s">
        <v>2578</v>
      </c>
      <c r="B380" s="10" t="s">
        <v>2691</v>
      </c>
      <c r="C380" s="7">
        <v>220</v>
      </c>
      <c r="D380" s="7">
        <f>VLOOKUP(A380,'UV-CODE'!A:J,4,FALSE)</f>
        <v>3</v>
      </c>
      <c r="E380" s="7">
        <f>VLOOKUP(A380,'UV-CODE'!A:J,7,FALSE)</f>
        <v>830</v>
      </c>
      <c r="F380" s="7">
        <f>VLOOKUP(A380,'UV-CODE'!A:J,8,FALSE)</f>
        <v>2050</v>
      </c>
      <c r="G380" s="7" t="s">
        <v>2701</v>
      </c>
      <c r="H380" s="7">
        <f t="shared" si="0"/>
        <v>220</v>
      </c>
      <c r="Q380" s="7" t="s">
        <v>2709</v>
      </c>
      <c r="R380" s="8">
        <v>19.525505094504318</v>
      </c>
      <c r="S380" s="7" t="s">
        <v>2710</v>
      </c>
      <c r="T380" s="8">
        <v>43.073252070428481</v>
      </c>
      <c r="V380" s="7" t="s">
        <v>2616</v>
      </c>
    </row>
    <row r="381" spans="1:22">
      <c r="A381" s="7" t="s">
        <v>2580</v>
      </c>
      <c r="B381" s="10" t="s">
        <v>2692</v>
      </c>
      <c r="C381" s="7">
        <v>240</v>
      </c>
      <c r="D381" s="7">
        <f>VLOOKUP(A381,'UV-CODE'!A:J,4,FALSE)</f>
        <v>3</v>
      </c>
      <c r="E381" s="7">
        <f>VLOOKUP(A381,'UV-CODE'!A:K,5,FALSE)</f>
        <v>36.5</v>
      </c>
      <c r="F381" s="7">
        <f>VLOOKUP(A381,'UV-CODE'!A:K,6,FALSE)</f>
        <v>80.5</v>
      </c>
      <c r="G381" s="7" t="s">
        <v>2702</v>
      </c>
      <c r="H381" s="7">
        <f t="shared" si="0"/>
        <v>240</v>
      </c>
      <c r="Q381" s="7" t="s">
        <v>2709</v>
      </c>
      <c r="R381" s="7">
        <v>41.21</v>
      </c>
      <c r="S381" s="7" t="s">
        <v>2710</v>
      </c>
      <c r="T381" s="60" t="s">
        <v>1120</v>
      </c>
      <c r="V381" s="7" t="s">
        <v>2616</v>
      </c>
    </row>
    <row r="382" spans="1:22">
      <c r="A382" s="7" t="s">
        <v>2581</v>
      </c>
      <c r="B382" s="10" t="s">
        <v>2693</v>
      </c>
      <c r="C382" s="7">
        <v>240</v>
      </c>
      <c r="D382" s="7">
        <f>VLOOKUP(A382,'UV-CODE'!A:J,4,FALSE)</f>
        <v>3</v>
      </c>
      <c r="E382" s="7">
        <f>VLOOKUP(A382,'UV-CODE'!A:K,5,FALSE)</f>
        <v>32.5</v>
      </c>
      <c r="F382" s="7">
        <f>VLOOKUP(A382,'UV-CODE'!A:K,6,FALSE)</f>
        <v>80.5</v>
      </c>
      <c r="G382" s="7" t="s">
        <v>2703</v>
      </c>
      <c r="H382" s="7">
        <f t="shared" si="0"/>
        <v>240</v>
      </c>
      <c r="Q382" s="7" t="s">
        <v>2709</v>
      </c>
      <c r="R382" s="7">
        <v>41.31</v>
      </c>
      <c r="S382" s="7" t="s">
        <v>2710</v>
      </c>
      <c r="T382" s="60" t="s">
        <v>1120</v>
      </c>
      <c r="V382" s="7" t="s">
        <v>2616</v>
      </c>
    </row>
    <row r="383" spans="1:22">
      <c r="A383" s="7" t="s">
        <v>2582</v>
      </c>
      <c r="B383" s="10" t="s">
        <v>2694</v>
      </c>
      <c r="C383" s="7">
        <v>240</v>
      </c>
      <c r="D383" s="7">
        <f>VLOOKUP(A383,'UV-CODE'!A:J,4,FALSE)</f>
        <v>3</v>
      </c>
      <c r="E383" s="7">
        <f>VLOOKUP(A383,'UV-CODE'!A:K,5,FALSE)</f>
        <v>30.5</v>
      </c>
      <c r="F383" s="7">
        <f>VLOOKUP(A383,'UV-CODE'!A:K,6,FALSE)</f>
        <v>80.5</v>
      </c>
      <c r="G383" s="7" t="s">
        <v>2704</v>
      </c>
      <c r="H383" s="7">
        <f t="shared" si="0"/>
        <v>240</v>
      </c>
      <c r="Q383" s="7" t="s">
        <v>2709</v>
      </c>
      <c r="R383" s="7">
        <v>40.15</v>
      </c>
      <c r="S383" s="7" t="s">
        <v>2710</v>
      </c>
      <c r="T383" s="60" t="s">
        <v>1120</v>
      </c>
      <c r="V383" s="7" t="s">
        <v>2616</v>
      </c>
    </row>
    <row r="384" spans="1:22">
      <c r="A384" s="7" t="s">
        <v>2583</v>
      </c>
      <c r="B384" s="10" t="s">
        <v>2695</v>
      </c>
      <c r="C384" s="7">
        <v>240</v>
      </c>
      <c r="D384" s="7">
        <f>VLOOKUP(A384,'UV-CODE'!A:J,4,FALSE)</f>
        <v>3</v>
      </c>
      <c r="E384" s="7">
        <f>VLOOKUP(A384,'UV-CODE'!A:K,5,FALSE)</f>
        <v>24.5</v>
      </c>
      <c r="F384" s="7">
        <f>VLOOKUP(A384,'UV-CODE'!A:K,6,FALSE)</f>
        <v>80.5</v>
      </c>
      <c r="G384" s="7" t="s">
        <v>2705</v>
      </c>
      <c r="H384" s="7">
        <f t="shared" si="0"/>
        <v>240</v>
      </c>
      <c r="Q384" s="7" t="s">
        <v>2709</v>
      </c>
      <c r="R384" s="7">
        <v>41.56</v>
      </c>
      <c r="S384" s="7" t="s">
        <v>2710</v>
      </c>
      <c r="T384" s="60" t="s">
        <v>1120</v>
      </c>
      <c r="V384" s="7" t="s">
        <v>2616</v>
      </c>
    </row>
    <row r="385" spans="1:22">
      <c r="A385" s="7" t="s">
        <v>2584</v>
      </c>
      <c r="B385" s="10" t="s">
        <v>2696</v>
      </c>
      <c r="C385" s="7">
        <v>240</v>
      </c>
      <c r="D385" s="7">
        <f>VLOOKUP(A385,'UV-CODE'!A:J,4,FALSE)</f>
        <v>3</v>
      </c>
      <c r="E385" s="7">
        <f>VLOOKUP(A385,'UV-CODE'!A:K,5,FALSE)</f>
        <v>36.5</v>
      </c>
      <c r="F385" s="7">
        <f>VLOOKUP(A385,'UV-CODE'!A:K,6,FALSE)</f>
        <v>96.5</v>
      </c>
      <c r="G385" s="7" t="s">
        <v>2706</v>
      </c>
      <c r="H385" s="7">
        <f t="shared" si="0"/>
        <v>240</v>
      </c>
      <c r="Q385" s="7" t="s">
        <v>2709</v>
      </c>
      <c r="R385" s="7">
        <v>44.81</v>
      </c>
      <c r="S385" s="7" t="s">
        <v>2710</v>
      </c>
      <c r="T385" s="60" t="s">
        <v>1120</v>
      </c>
      <c r="V385" s="7" t="s">
        <v>2616</v>
      </c>
    </row>
    <row r="386" spans="1:22">
      <c r="A386" s="7" t="s">
        <v>2585</v>
      </c>
      <c r="B386" s="10" t="s">
        <v>2697</v>
      </c>
      <c r="C386" s="7">
        <v>240</v>
      </c>
      <c r="D386" s="7">
        <f>VLOOKUP(A386,'UV-CODE'!A:J,4,FALSE)</f>
        <v>3</v>
      </c>
      <c r="E386" s="7">
        <f>VLOOKUP(A386,'UV-CODE'!A:K,5,FALSE)</f>
        <v>28.5</v>
      </c>
      <c r="F386" s="7">
        <f>VLOOKUP(A386,'UV-CODE'!A:K,6,FALSE)</f>
        <v>80.5</v>
      </c>
      <c r="G386" s="7" t="s">
        <v>2707</v>
      </c>
      <c r="H386" s="7">
        <f t="shared" si="0"/>
        <v>240</v>
      </c>
      <c r="Q386" s="7" t="s">
        <v>2709</v>
      </c>
      <c r="R386" s="7">
        <v>20.09</v>
      </c>
      <c r="S386" s="7" t="s">
        <v>2710</v>
      </c>
      <c r="T386" s="60" t="s">
        <v>1120</v>
      </c>
      <c r="V386" s="7" t="s">
        <v>2616</v>
      </c>
    </row>
    <row r="387" spans="1:22">
      <c r="A387" s="7" t="s">
        <v>2586</v>
      </c>
      <c r="B387" s="10" t="s">
        <v>2698</v>
      </c>
      <c r="C387" s="7">
        <v>240</v>
      </c>
      <c r="D387" s="7">
        <f>VLOOKUP(A387,'UV-CODE'!A:J,4,FALSE)</f>
        <v>3</v>
      </c>
      <c r="E387" s="7">
        <f>VLOOKUP(A387,'UV-CODE'!A:K,5,FALSE)</f>
        <v>36.5</v>
      </c>
      <c r="F387" s="7">
        <f>VLOOKUP(A387,'UV-CODE'!A:K,6,FALSE)</f>
        <v>84.5</v>
      </c>
      <c r="G387" s="7" t="s">
        <v>2708</v>
      </c>
      <c r="H387" s="7">
        <f t="shared" si="0"/>
        <v>240</v>
      </c>
      <c r="Q387" s="7" t="s">
        <v>2709</v>
      </c>
      <c r="R387" s="7">
        <v>43.43</v>
      </c>
      <c r="S387" s="7" t="s">
        <v>2710</v>
      </c>
      <c r="T387" s="60" t="s">
        <v>1120</v>
      </c>
      <c r="V387" s="7" t="s">
        <v>2616</v>
      </c>
    </row>
  </sheetData>
  <autoFilter ref="A1:V387" xr:uid="{00000000-0001-0000-0100-000000000000}"/>
  <conditionalFormatting sqref="A372:A377">
    <cfRule type="duplicateValues" dxfId="390" priority="1"/>
  </conditionalFormatting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3"/>
  <sheetViews>
    <sheetView tabSelected="1" zoomScaleNormal="100" workbookViewId="0">
      <pane ySplit="1" topLeftCell="A2" activePane="bottomLeft" state="frozen"/>
      <selection pane="bottomLeft" activeCell="E24" sqref="E24"/>
    </sheetView>
  </sheetViews>
  <sheetFormatPr defaultRowHeight="14.4"/>
  <cols>
    <col min="1" max="1" width="15" style="7" customWidth="1"/>
    <col min="2" max="2" width="26.5546875" style="10" customWidth="1"/>
    <col min="3" max="4" width="12" style="7" customWidth="1"/>
    <col min="5" max="5" width="13.33203125" style="7" customWidth="1"/>
    <col min="6" max="6" width="25.33203125" style="7" customWidth="1"/>
    <col min="7" max="7" width="7.109375" style="7" customWidth="1"/>
    <col min="8" max="9" width="12" style="7" customWidth="1"/>
    <col min="10" max="12" width="15" style="7" customWidth="1"/>
    <col min="13" max="14" width="20.5546875" style="7" customWidth="1"/>
    <col min="15" max="15" width="63.44140625" style="7" bestFit="1" customWidth="1"/>
  </cols>
  <sheetData>
    <row r="1" spans="1:15">
      <c r="A1" s="11" t="s">
        <v>34</v>
      </c>
      <c r="B1" s="11" t="s">
        <v>35</v>
      </c>
      <c r="C1" s="11" t="s">
        <v>36</v>
      </c>
      <c r="D1" s="12" t="s">
        <v>37</v>
      </c>
      <c r="E1" s="12" t="s">
        <v>38</v>
      </c>
      <c r="F1" s="12" t="s">
        <v>39</v>
      </c>
      <c r="G1" s="12" t="s">
        <v>40</v>
      </c>
      <c r="H1" s="12" t="s">
        <v>41</v>
      </c>
      <c r="I1" s="12" t="s">
        <v>42</v>
      </c>
      <c r="J1" s="14" t="s">
        <v>1111</v>
      </c>
      <c r="K1" s="14" t="s">
        <v>1112</v>
      </c>
      <c r="L1" s="14" t="s">
        <v>1121</v>
      </c>
      <c r="M1" s="12" t="s">
        <v>43</v>
      </c>
      <c r="N1" s="4" t="s">
        <v>44</v>
      </c>
      <c r="O1" s="4" t="s">
        <v>45</v>
      </c>
    </row>
    <row r="2" spans="1:15" s="20" customFormat="1">
      <c r="A2" s="17" t="s">
        <v>1107</v>
      </c>
      <c r="B2" s="18" t="s">
        <v>1133</v>
      </c>
      <c r="C2" s="17" t="s">
        <v>46</v>
      </c>
      <c r="D2" s="17">
        <v>1</v>
      </c>
      <c r="E2" s="17" t="s">
        <v>1108</v>
      </c>
      <c r="F2" s="17" t="s">
        <v>47</v>
      </c>
      <c r="G2" s="17"/>
      <c r="H2" s="17" t="s">
        <v>48</v>
      </c>
      <c r="I2" s="17" t="s">
        <v>49</v>
      </c>
      <c r="J2" s="17" t="s">
        <v>1120</v>
      </c>
      <c r="K2" s="17" t="s">
        <v>1120</v>
      </c>
      <c r="L2" s="17" t="s">
        <v>1120</v>
      </c>
      <c r="M2" s="17">
        <v>46</v>
      </c>
      <c r="N2" s="17">
        <v>54</v>
      </c>
      <c r="O2" s="21" t="s">
        <v>1138</v>
      </c>
    </row>
    <row r="3" spans="1:15">
      <c r="A3" s="13" t="s">
        <v>1107</v>
      </c>
      <c r="B3" s="16" t="s">
        <v>1133</v>
      </c>
      <c r="C3" s="13" t="s">
        <v>1116</v>
      </c>
      <c r="D3" s="13">
        <v>2</v>
      </c>
      <c r="E3" s="13" t="s">
        <v>1123</v>
      </c>
      <c r="F3" s="13" t="s">
        <v>50</v>
      </c>
      <c r="G3" s="13"/>
      <c r="H3" s="13" t="s">
        <v>51</v>
      </c>
      <c r="I3" s="13" t="s">
        <v>1113</v>
      </c>
      <c r="J3" s="13">
        <v>0.3</v>
      </c>
      <c r="K3" s="13">
        <v>2700</v>
      </c>
      <c r="L3" s="13" t="s">
        <v>1120</v>
      </c>
      <c r="M3" s="13"/>
      <c r="N3" s="13"/>
    </row>
    <row r="4" spans="1:15">
      <c r="A4" s="13" t="s">
        <v>1107</v>
      </c>
      <c r="B4" s="16" t="s">
        <v>1133</v>
      </c>
      <c r="C4" s="13" t="s">
        <v>1116</v>
      </c>
      <c r="D4" s="13">
        <v>2</v>
      </c>
      <c r="E4" s="13" t="s">
        <v>1124</v>
      </c>
      <c r="F4" s="13" t="s">
        <v>50</v>
      </c>
      <c r="G4" s="13"/>
      <c r="H4" s="13" t="s">
        <v>51</v>
      </c>
      <c r="I4" s="13" t="s">
        <v>1113</v>
      </c>
      <c r="J4" s="13">
        <v>0.2</v>
      </c>
      <c r="K4" s="13">
        <v>2700</v>
      </c>
      <c r="L4" s="13" t="s">
        <v>1120</v>
      </c>
      <c r="M4" s="13"/>
      <c r="N4" s="13"/>
      <c r="O4" s="15"/>
    </row>
    <row r="5" spans="1:15">
      <c r="A5" s="13" t="s">
        <v>1107</v>
      </c>
      <c r="B5" s="16" t="s">
        <v>1133</v>
      </c>
      <c r="C5" s="13" t="s">
        <v>1116</v>
      </c>
      <c r="D5" s="13">
        <v>2</v>
      </c>
      <c r="E5" s="13" t="s">
        <v>1125</v>
      </c>
      <c r="F5" s="13" t="s">
        <v>50</v>
      </c>
      <c r="G5" s="13"/>
      <c r="H5" s="13" t="s">
        <v>51</v>
      </c>
      <c r="I5" s="13" t="s">
        <v>1113</v>
      </c>
      <c r="J5" s="13">
        <v>0.35</v>
      </c>
      <c r="K5" s="13">
        <v>2700</v>
      </c>
      <c r="L5" s="13" t="s">
        <v>1120</v>
      </c>
      <c r="M5" s="13"/>
      <c r="N5" s="13"/>
      <c r="O5" s="15"/>
    </row>
    <row r="6" spans="1:15">
      <c r="A6" s="13" t="s">
        <v>1107</v>
      </c>
      <c r="B6" s="16" t="s">
        <v>1133</v>
      </c>
      <c r="C6" s="13" t="s">
        <v>1116</v>
      </c>
      <c r="D6" s="13">
        <v>2</v>
      </c>
      <c r="E6" s="13" t="s">
        <v>894</v>
      </c>
      <c r="F6" s="13" t="s">
        <v>50</v>
      </c>
      <c r="G6" s="13"/>
      <c r="H6" s="13" t="s">
        <v>51</v>
      </c>
      <c r="I6" s="13" t="s">
        <v>1110</v>
      </c>
      <c r="J6" s="13">
        <v>0.2</v>
      </c>
      <c r="K6" s="13">
        <v>2700</v>
      </c>
      <c r="L6" s="13" t="s">
        <v>1120</v>
      </c>
      <c r="M6" s="13"/>
      <c r="N6" s="13"/>
      <c r="O6" s="15"/>
    </row>
    <row r="7" spans="1:15">
      <c r="A7" s="13" t="s">
        <v>1107</v>
      </c>
      <c r="B7" s="16" t="s">
        <v>1133</v>
      </c>
      <c r="C7" s="13" t="s">
        <v>1116</v>
      </c>
      <c r="D7" s="13">
        <v>2</v>
      </c>
      <c r="E7" s="13" t="s">
        <v>1126</v>
      </c>
      <c r="F7" s="13" t="s">
        <v>50</v>
      </c>
      <c r="G7" s="13"/>
      <c r="H7" s="13" t="s">
        <v>51</v>
      </c>
      <c r="I7" s="13" t="s">
        <v>1110</v>
      </c>
      <c r="J7" s="13">
        <v>0.2</v>
      </c>
      <c r="K7" s="13">
        <v>2700</v>
      </c>
      <c r="L7" s="13" t="s">
        <v>1120</v>
      </c>
      <c r="M7" s="13"/>
      <c r="N7" s="13"/>
      <c r="O7" s="15"/>
    </row>
    <row r="8" spans="1:15">
      <c r="A8" s="13" t="s">
        <v>1107</v>
      </c>
      <c r="B8" s="16" t="s">
        <v>1133</v>
      </c>
      <c r="C8" s="13" t="s">
        <v>1116</v>
      </c>
      <c r="D8" s="13">
        <v>2</v>
      </c>
      <c r="E8" s="13" t="s">
        <v>1127</v>
      </c>
      <c r="F8" s="13" t="s">
        <v>50</v>
      </c>
      <c r="G8" s="13"/>
      <c r="H8" s="13" t="s">
        <v>51</v>
      </c>
      <c r="I8" s="13" t="s">
        <v>1114</v>
      </c>
      <c r="J8" s="13">
        <v>0.2</v>
      </c>
      <c r="K8" s="13">
        <v>2700</v>
      </c>
      <c r="L8" s="13" t="s">
        <v>1120</v>
      </c>
      <c r="M8" s="13"/>
      <c r="N8" s="13"/>
      <c r="O8" s="15"/>
    </row>
    <row r="9" spans="1:15">
      <c r="A9" s="13" t="s">
        <v>1107</v>
      </c>
      <c r="B9" s="16" t="s">
        <v>1133</v>
      </c>
      <c r="C9" s="13" t="s">
        <v>1116</v>
      </c>
      <c r="D9" s="13">
        <v>2</v>
      </c>
      <c r="E9" s="13" t="s">
        <v>895</v>
      </c>
      <c r="F9" s="13" t="s">
        <v>50</v>
      </c>
      <c r="G9" s="13"/>
      <c r="H9" s="13" t="s">
        <v>51</v>
      </c>
      <c r="I9" s="13" t="s">
        <v>1115</v>
      </c>
      <c r="J9" s="13">
        <v>0.2</v>
      </c>
      <c r="K9" s="13">
        <v>2200</v>
      </c>
      <c r="L9" s="13" t="s">
        <v>1120</v>
      </c>
      <c r="M9" s="13"/>
      <c r="N9" s="13"/>
      <c r="O9" s="15"/>
    </row>
    <row r="10" spans="1:15" s="20" customFormat="1">
      <c r="A10" s="17" t="s">
        <v>1130</v>
      </c>
      <c r="B10" s="18" t="s">
        <v>1134</v>
      </c>
      <c r="C10" s="17" t="s">
        <v>46</v>
      </c>
      <c r="D10" s="17">
        <v>1</v>
      </c>
      <c r="E10" s="17" t="s">
        <v>1131</v>
      </c>
      <c r="F10" s="17" t="s">
        <v>47</v>
      </c>
      <c r="G10" s="17"/>
      <c r="H10" s="17" t="s">
        <v>48</v>
      </c>
      <c r="I10" s="17" t="s">
        <v>1137</v>
      </c>
      <c r="J10" s="17" t="s">
        <v>1120</v>
      </c>
      <c r="K10" s="17" t="s">
        <v>1120</v>
      </c>
      <c r="L10" s="17" t="s">
        <v>1120</v>
      </c>
      <c r="M10" s="17">
        <v>46</v>
      </c>
      <c r="N10" s="17">
        <v>54</v>
      </c>
      <c r="O10" s="19"/>
    </row>
    <row r="11" spans="1:15">
      <c r="A11" s="13" t="s">
        <v>1130</v>
      </c>
      <c r="B11" s="16" t="s">
        <v>1134</v>
      </c>
      <c r="C11" s="13" t="s">
        <v>1116</v>
      </c>
      <c r="D11" s="13">
        <v>2</v>
      </c>
      <c r="E11" s="13" t="s">
        <v>1123</v>
      </c>
      <c r="F11" s="13" t="s">
        <v>50</v>
      </c>
      <c r="G11" s="13"/>
      <c r="H11" s="13" t="s">
        <v>51</v>
      </c>
      <c r="I11" s="13" t="s">
        <v>1113</v>
      </c>
      <c r="J11" s="13">
        <v>0.3</v>
      </c>
      <c r="K11" s="13">
        <v>2700</v>
      </c>
      <c r="L11" s="13" t="s">
        <v>1120</v>
      </c>
      <c r="M11" s="13"/>
      <c r="N11" s="13"/>
    </row>
    <row r="12" spans="1:15">
      <c r="A12" s="13" t="s">
        <v>1130</v>
      </c>
      <c r="B12" s="16" t="s">
        <v>1134</v>
      </c>
      <c r="C12" s="13" t="s">
        <v>1116</v>
      </c>
      <c r="D12" s="13">
        <v>2</v>
      </c>
      <c r="E12" s="13" t="s">
        <v>1124</v>
      </c>
      <c r="F12" s="13" t="s">
        <v>50</v>
      </c>
      <c r="G12" s="13"/>
      <c r="H12" s="13" t="s">
        <v>51</v>
      </c>
      <c r="I12" s="13" t="s">
        <v>1113</v>
      </c>
      <c r="J12" s="13">
        <v>0.2</v>
      </c>
      <c r="K12" s="13">
        <v>2700</v>
      </c>
      <c r="L12" s="13" t="s">
        <v>1120</v>
      </c>
      <c r="M12" s="13"/>
      <c r="N12" s="13"/>
    </row>
    <row r="13" spans="1:15">
      <c r="A13" s="13" t="s">
        <v>1130</v>
      </c>
      <c r="B13" s="16" t="s">
        <v>1134</v>
      </c>
      <c r="C13" s="13" t="s">
        <v>1116</v>
      </c>
      <c r="D13" s="13">
        <v>2</v>
      </c>
      <c r="E13" s="13" t="s">
        <v>1125</v>
      </c>
      <c r="F13" s="13" t="s">
        <v>50</v>
      </c>
      <c r="G13" s="13"/>
      <c r="H13" s="13" t="s">
        <v>51</v>
      </c>
      <c r="I13" s="13" t="s">
        <v>1113</v>
      </c>
      <c r="J13" s="13">
        <v>0.35</v>
      </c>
      <c r="K13" s="13">
        <v>2700</v>
      </c>
      <c r="L13" s="13" t="s">
        <v>1120</v>
      </c>
      <c r="M13" s="13"/>
      <c r="N13" s="13"/>
    </row>
    <row r="14" spans="1:15">
      <c r="A14" s="13" t="s">
        <v>1130</v>
      </c>
      <c r="B14" s="16" t="s">
        <v>1134</v>
      </c>
      <c r="C14" s="13" t="s">
        <v>1116</v>
      </c>
      <c r="D14" s="13">
        <v>2</v>
      </c>
      <c r="E14" s="13" t="s">
        <v>894</v>
      </c>
      <c r="F14" s="13" t="s">
        <v>50</v>
      </c>
      <c r="G14" s="13"/>
      <c r="H14" s="13" t="s">
        <v>51</v>
      </c>
      <c r="I14" s="13" t="s">
        <v>1110</v>
      </c>
      <c r="J14" s="13">
        <v>0.2</v>
      </c>
      <c r="K14" s="13">
        <v>2700</v>
      </c>
      <c r="L14" s="13" t="s">
        <v>1120</v>
      </c>
      <c r="M14" s="13"/>
      <c r="N14" s="13"/>
    </row>
    <row r="15" spans="1:15">
      <c r="A15" s="13" t="s">
        <v>1130</v>
      </c>
      <c r="B15" s="16" t="s">
        <v>1134</v>
      </c>
      <c r="C15" s="13" t="s">
        <v>1116</v>
      </c>
      <c r="D15" s="13">
        <v>2</v>
      </c>
      <c r="E15" s="13" t="s">
        <v>1126</v>
      </c>
      <c r="F15" s="13" t="s">
        <v>50</v>
      </c>
      <c r="G15" s="13"/>
      <c r="H15" s="13" t="s">
        <v>51</v>
      </c>
      <c r="I15" s="13" t="s">
        <v>1110</v>
      </c>
      <c r="J15" s="13">
        <v>0.2</v>
      </c>
      <c r="K15" s="13">
        <v>2700</v>
      </c>
      <c r="L15" s="13" t="s">
        <v>1120</v>
      </c>
      <c r="M15" s="13"/>
      <c r="N15" s="13"/>
    </row>
    <row r="16" spans="1:15">
      <c r="A16" s="13" t="s">
        <v>1130</v>
      </c>
      <c r="B16" s="16" t="s">
        <v>1134</v>
      </c>
      <c r="C16" s="13" t="s">
        <v>1116</v>
      </c>
      <c r="D16" s="13">
        <v>2</v>
      </c>
      <c r="E16" s="13" t="s">
        <v>1127</v>
      </c>
      <c r="F16" s="13" t="s">
        <v>50</v>
      </c>
      <c r="G16" s="13"/>
      <c r="H16" s="13" t="s">
        <v>51</v>
      </c>
      <c r="I16" s="13" t="s">
        <v>1114</v>
      </c>
      <c r="J16" s="13">
        <v>0.2</v>
      </c>
      <c r="K16" s="13">
        <v>2700</v>
      </c>
      <c r="L16" s="13" t="s">
        <v>1120</v>
      </c>
      <c r="M16" s="13"/>
      <c r="N16" s="13"/>
    </row>
    <row r="17" spans="1:15">
      <c r="A17" s="13" t="s">
        <v>1130</v>
      </c>
      <c r="B17" s="16" t="s">
        <v>1134</v>
      </c>
      <c r="C17" s="13" t="s">
        <v>1116</v>
      </c>
      <c r="D17" s="13">
        <v>2</v>
      </c>
      <c r="E17" s="13" t="s">
        <v>895</v>
      </c>
      <c r="F17" s="13" t="s">
        <v>50</v>
      </c>
      <c r="G17" s="13"/>
      <c r="H17" s="13" t="s">
        <v>51</v>
      </c>
      <c r="I17" s="13" t="s">
        <v>1115</v>
      </c>
      <c r="J17" s="13">
        <v>0.2</v>
      </c>
      <c r="K17" s="13">
        <v>2200</v>
      </c>
      <c r="L17" s="13" t="s">
        <v>1120</v>
      </c>
      <c r="M17" s="13"/>
      <c r="N17" s="13"/>
    </row>
    <row r="18" spans="1:15" s="20" customFormat="1">
      <c r="A18" s="17" t="s">
        <v>1132</v>
      </c>
      <c r="B18" s="18" t="s">
        <v>1135</v>
      </c>
      <c r="C18" s="17" t="s">
        <v>46</v>
      </c>
      <c r="D18" s="17">
        <v>1</v>
      </c>
      <c r="E18" s="17" t="s">
        <v>1136</v>
      </c>
      <c r="F18" s="17" t="s">
        <v>47</v>
      </c>
      <c r="G18" s="17"/>
      <c r="H18" s="17" t="s">
        <v>48</v>
      </c>
      <c r="I18" s="17" t="s">
        <v>49</v>
      </c>
      <c r="J18" s="17" t="s">
        <v>1120</v>
      </c>
      <c r="K18" s="17" t="s">
        <v>1120</v>
      </c>
      <c r="L18" s="17" t="s">
        <v>1122</v>
      </c>
      <c r="M18" s="17">
        <v>46</v>
      </c>
      <c r="N18" s="17">
        <v>54</v>
      </c>
      <c r="O18" s="19"/>
    </row>
    <row r="19" spans="1:15">
      <c r="A19" s="13" t="s">
        <v>1132</v>
      </c>
      <c r="B19" s="16" t="s">
        <v>1135</v>
      </c>
      <c r="C19" s="13" t="s">
        <v>1116</v>
      </c>
      <c r="D19" s="13">
        <v>2</v>
      </c>
      <c r="E19" s="13" t="s">
        <v>1126</v>
      </c>
      <c r="F19" s="13" t="s">
        <v>50</v>
      </c>
      <c r="G19" s="13"/>
      <c r="H19" s="13" t="s">
        <v>51</v>
      </c>
      <c r="I19" s="13" t="s">
        <v>1110</v>
      </c>
      <c r="J19" s="13">
        <v>0.2</v>
      </c>
      <c r="K19" s="13">
        <v>2700</v>
      </c>
      <c r="L19" s="13" t="s">
        <v>1122</v>
      </c>
      <c r="M19" s="13"/>
      <c r="N19" s="13"/>
    </row>
    <row r="20" spans="1:15">
      <c r="A20" s="13" t="s">
        <v>1132</v>
      </c>
      <c r="B20" s="16" t="s">
        <v>1135</v>
      </c>
      <c r="C20" s="13" t="s">
        <v>1116</v>
      </c>
      <c r="D20" s="13">
        <v>2</v>
      </c>
      <c r="E20" s="13" t="s">
        <v>1127</v>
      </c>
      <c r="F20" s="13" t="s">
        <v>50</v>
      </c>
      <c r="G20" s="13"/>
      <c r="H20" s="13" t="s">
        <v>51</v>
      </c>
      <c r="I20" s="13" t="s">
        <v>1114</v>
      </c>
      <c r="J20" s="13">
        <v>0.2</v>
      </c>
      <c r="K20" s="13">
        <v>2700</v>
      </c>
      <c r="L20" s="13" t="s">
        <v>1122</v>
      </c>
      <c r="M20" s="13"/>
      <c r="N20" s="13"/>
    </row>
    <row r="21" spans="1:15">
      <c r="A21" s="13" t="s">
        <v>1132</v>
      </c>
      <c r="B21" s="16" t="s">
        <v>1135</v>
      </c>
      <c r="C21" s="13" t="s">
        <v>1116</v>
      </c>
      <c r="D21" s="13">
        <v>2</v>
      </c>
      <c r="E21" s="13" t="s">
        <v>1128</v>
      </c>
      <c r="F21" s="13" t="s">
        <v>50</v>
      </c>
      <c r="G21" s="13"/>
      <c r="H21" s="13" t="s">
        <v>51</v>
      </c>
      <c r="I21" s="13" t="s">
        <v>1115</v>
      </c>
      <c r="J21" s="13">
        <v>0.2</v>
      </c>
      <c r="K21" s="13">
        <v>2700</v>
      </c>
      <c r="L21" s="13" t="s">
        <v>1122</v>
      </c>
      <c r="M21" s="13"/>
      <c r="N21" s="13"/>
    </row>
    <row r="22" spans="1:15">
      <c r="A22" s="13" t="s">
        <v>1132</v>
      </c>
      <c r="B22" s="16" t="s">
        <v>1135</v>
      </c>
      <c r="C22" s="13" t="s">
        <v>1116</v>
      </c>
      <c r="D22" s="13">
        <v>2</v>
      </c>
      <c r="E22" s="13" t="s">
        <v>1129</v>
      </c>
      <c r="F22" s="13" t="s">
        <v>50</v>
      </c>
      <c r="G22" s="13"/>
      <c r="H22" s="13" t="s">
        <v>51</v>
      </c>
      <c r="I22" s="13" t="s">
        <v>1115</v>
      </c>
      <c r="J22" s="13">
        <v>0.2</v>
      </c>
      <c r="K22" s="13">
        <v>2200</v>
      </c>
      <c r="L22" s="13" t="s">
        <v>1122</v>
      </c>
      <c r="M22" s="13"/>
      <c r="N22" s="13"/>
    </row>
    <row r="23" spans="1:15">
      <c r="A23" s="13"/>
      <c r="B23" s="16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5">
      <c r="A24" s="13"/>
      <c r="B24" s="16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5">
      <c r="A25" s="13"/>
      <c r="B25" s="16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5">
      <c r="A26" s="13"/>
      <c r="B26" s="16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5">
      <c r="A27" s="13"/>
      <c r="B27" s="16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5">
      <c r="A28" s="13"/>
      <c r="B28" s="16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5">
      <c r="A29" s="13"/>
      <c r="B29" s="16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5">
      <c r="A30" s="13"/>
      <c r="B30" s="16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1:15">
      <c r="A31" s="13"/>
      <c r="B31" s="16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1:15">
      <c r="A32" s="13"/>
      <c r="B32" s="16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>
      <c r="A33" s="13"/>
      <c r="B33" s="16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1:14">
      <c r="A34" s="13"/>
      <c r="B34" s="16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1:14">
      <c r="A35" s="13"/>
      <c r="B35" s="16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1:14">
      <c r="A36" s="13"/>
      <c r="B36" s="16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1:14">
      <c r="A37" s="13"/>
      <c r="B37" s="16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1:14">
      <c r="A38" s="13"/>
      <c r="B38" s="16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1:14">
      <c r="A39" s="13"/>
      <c r="B39" s="16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1:14">
      <c r="A40" s="13"/>
      <c r="B40" s="16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1:14">
      <c r="A41" s="13"/>
      <c r="B41" s="16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1:14">
      <c r="A42" s="13"/>
      <c r="B42" s="16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1:14">
      <c r="A43" s="13"/>
      <c r="B43" s="16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</row>
  </sheetData>
  <phoneticPr fontId="8" type="noConversion"/>
  <dataValidations disablePrompts="1" count="1">
    <dataValidation type="list" allowBlank="1" sqref="C3:C9 C11:C17 C19:C1996" xr:uid="{00000000-0002-0000-0200-000000000000}">
      <formula1>"INPUT,OUTPUT,STEP"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8"/>
  <sheetViews>
    <sheetView zoomScaleNormal="100" workbookViewId="0">
      <pane ySplit="1" topLeftCell="A2" activePane="bottomLeft" state="frozen"/>
      <selection pane="bottomLeft" activeCell="E1" sqref="E1:E1048576"/>
    </sheetView>
  </sheetViews>
  <sheetFormatPr defaultRowHeight="14.4"/>
  <cols>
    <col min="1" max="1" width="17.33203125" style="7" customWidth="1"/>
    <col min="2" max="2" width="35.33203125" style="7" customWidth="1"/>
    <col min="3" max="4" width="12" customWidth="1"/>
    <col min="5" max="5" width="15.88671875" style="7" customWidth="1"/>
    <col min="6" max="8" width="12" customWidth="1"/>
    <col min="9" max="9" width="12" style="7" customWidth="1"/>
    <col min="10" max="11" width="10.5546875" style="7" customWidth="1"/>
    <col min="12" max="14" width="14" style="7" customWidth="1"/>
    <col min="15" max="15" width="22" style="7" customWidth="1"/>
    <col min="16" max="16" width="21" style="7" customWidth="1"/>
    <col min="17" max="17" width="63.44140625" bestFit="1" customWidth="1"/>
  </cols>
  <sheetData>
    <row r="1" spans="1:17">
      <c r="A1" s="3" t="s">
        <v>34</v>
      </c>
      <c r="B1" s="3" t="s">
        <v>35</v>
      </c>
      <c r="C1" s="3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14" t="s">
        <v>2557</v>
      </c>
      <c r="K1" s="14" t="s">
        <v>2556</v>
      </c>
      <c r="L1" s="14" t="s">
        <v>1111</v>
      </c>
      <c r="M1" s="14" t="s">
        <v>14</v>
      </c>
      <c r="N1" s="14" t="s">
        <v>15</v>
      </c>
      <c r="O1" s="12" t="s">
        <v>43</v>
      </c>
      <c r="P1" s="4" t="s">
        <v>44</v>
      </c>
      <c r="Q1" s="4" t="s">
        <v>45</v>
      </c>
    </row>
    <row r="2" spans="1:17">
      <c r="A2" s="23" t="s">
        <v>1151</v>
      </c>
      <c r="B2" s="10" t="s">
        <v>1164</v>
      </c>
      <c r="C2" s="7" t="s">
        <v>46</v>
      </c>
      <c r="D2" s="7" t="s">
        <v>32</v>
      </c>
      <c r="E2" s="7" t="s">
        <v>1139</v>
      </c>
      <c r="F2" s="7" t="s">
        <v>50</v>
      </c>
      <c r="G2" s="7"/>
      <c r="H2" s="7" t="s">
        <v>51</v>
      </c>
      <c r="I2" s="7" t="s">
        <v>1147</v>
      </c>
      <c r="J2" s="7" t="str">
        <f>VLOOKUP(E2,'M2'!A:K,7,FALSE)</f>
        <v>RIFT</v>
      </c>
      <c r="K2" s="7" t="str">
        <f>VLOOKUP(E2,'M2'!A:K,9,FALSE)</f>
        <v>Z</v>
      </c>
      <c r="L2" s="7">
        <f>VLOOKUP(E2,'M2'!A:K,3,FALSE)</f>
        <v>0.5</v>
      </c>
      <c r="M2" s="7" t="str">
        <f>VLOOKUP(E2,'M2'!A:K,4,FALSE)</f>
        <v>NON</v>
      </c>
      <c r="N2" s="7">
        <f>VLOOKUP(E2,'M2'!A:K,5,FALSE)</f>
        <v>2500</v>
      </c>
      <c r="O2" s="13">
        <v>60</v>
      </c>
      <c r="P2" s="13">
        <v>40</v>
      </c>
      <c r="Q2" s="21" t="s">
        <v>1138</v>
      </c>
    </row>
    <row r="3" spans="1:17">
      <c r="A3" s="7" t="s">
        <v>1151</v>
      </c>
      <c r="B3" s="10" t="s">
        <v>1164</v>
      </c>
      <c r="C3" s="7" t="s">
        <v>1116</v>
      </c>
      <c r="D3" s="7">
        <v>2</v>
      </c>
      <c r="E3" s="7" t="s">
        <v>1159</v>
      </c>
      <c r="F3" s="7" t="s">
        <v>50</v>
      </c>
      <c r="G3" s="7"/>
      <c r="H3" s="7" t="s">
        <v>1162</v>
      </c>
      <c r="I3" s="7" t="s">
        <v>1163</v>
      </c>
      <c r="J3" s="7" t="str">
        <f>VLOOKUP(E3,V!A:K,7,FALSE)</f>
        <v>RIFT</v>
      </c>
      <c r="K3" s="7" t="str">
        <f>VLOOKUP(E3,V!A:K,9,FALSE)</f>
        <v>Z</v>
      </c>
      <c r="L3" s="7">
        <f>VLOOKUP(E3,V!A:K,3,FALSE)</f>
        <v>0.5</v>
      </c>
      <c r="M3" s="7">
        <f>VLOOKUP(E3,V!A:K,4,FALSE)</f>
        <v>1265</v>
      </c>
      <c r="N3" s="7">
        <f>VLOOKUP(E3,V!A:K,5,FALSE)</f>
        <v>2520</v>
      </c>
      <c r="O3" s="13"/>
      <c r="P3" s="13"/>
      <c r="Q3" s="2"/>
    </row>
    <row r="4" spans="1:17">
      <c r="A4" s="7" t="s">
        <v>1151</v>
      </c>
      <c r="B4" s="10" t="s">
        <v>1164</v>
      </c>
      <c r="C4" s="7" t="s">
        <v>1116</v>
      </c>
      <c r="D4" s="7">
        <v>2</v>
      </c>
      <c r="E4" s="7" t="s">
        <v>1160</v>
      </c>
      <c r="F4" s="7" t="s">
        <v>50</v>
      </c>
      <c r="G4" s="7"/>
      <c r="H4" s="7" t="s">
        <v>1162</v>
      </c>
      <c r="I4" s="7" t="s">
        <v>1163</v>
      </c>
      <c r="J4" s="7" t="str">
        <f>VLOOKUP(E4,V!A:K,7,FALSE)</f>
        <v>RIFT</v>
      </c>
      <c r="K4" s="7" t="str">
        <f>VLOOKUP(E4,V!A:K,9,FALSE)</f>
        <v>Z</v>
      </c>
      <c r="L4" s="7">
        <f>VLOOKUP(E4,V!A:K,3,FALSE)</f>
        <v>0.5</v>
      </c>
      <c r="M4" s="7">
        <f>VLOOKUP(E4,V!A:K,4,FALSE)</f>
        <v>1265</v>
      </c>
      <c r="N4" s="7">
        <f>VLOOKUP(E4,V!A:K,5,FALSE)</f>
        <v>3100</v>
      </c>
      <c r="O4" s="13"/>
      <c r="P4" s="13"/>
      <c r="Q4" s="2"/>
    </row>
    <row r="5" spans="1:17">
      <c r="A5" s="7" t="s">
        <v>1151</v>
      </c>
      <c r="B5" s="10" t="s">
        <v>1164</v>
      </c>
      <c r="C5" s="7" t="s">
        <v>1116</v>
      </c>
      <c r="D5" s="7">
        <v>2</v>
      </c>
      <c r="E5" s="7" t="s">
        <v>1161</v>
      </c>
      <c r="F5" s="7" t="s">
        <v>50</v>
      </c>
      <c r="G5" s="7"/>
      <c r="H5" s="7" t="s">
        <v>1162</v>
      </c>
      <c r="I5" s="7" t="s">
        <v>1163</v>
      </c>
      <c r="J5" s="7" t="str">
        <f>VLOOKUP(E5,V!A:K,7,FALSE)</f>
        <v>RIFT</v>
      </c>
      <c r="K5" s="7" t="str">
        <f>VLOOKUP(E5,V!A:K,9,FALSE)</f>
        <v>Z</v>
      </c>
      <c r="L5" s="7">
        <f>VLOOKUP(E5,V!A:K,3,FALSE)</f>
        <v>0.5</v>
      </c>
      <c r="M5" s="7">
        <f>VLOOKUP(E5,V!A:K,4,FALSE)</f>
        <v>965</v>
      </c>
      <c r="N5" s="7">
        <f>VLOOKUP(E5,V!A:K,5,FALSE)</f>
        <v>2250</v>
      </c>
      <c r="O5" s="13"/>
      <c r="P5" s="13"/>
      <c r="Q5" s="2"/>
    </row>
    <row r="6" spans="1:17">
      <c r="A6" s="23" t="s">
        <v>1152</v>
      </c>
      <c r="B6" s="10" t="s">
        <v>1165</v>
      </c>
      <c r="C6" s="7" t="s">
        <v>46</v>
      </c>
      <c r="D6" s="7" t="s">
        <v>32</v>
      </c>
      <c r="E6" s="7" t="s">
        <v>1140</v>
      </c>
      <c r="F6" s="7" t="s">
        <v>50</v>
      </c>
      <c r="G6" s="7"/>
      <c r="H6" s="7" t="s">
        <v>51</v>
      </c>
      <c r="I6" s="7" t="s">
        <v>1148</v>
      </c>
      <c r="J6" s="7" t="str">
        <f>VLOOKUP(E6,'M2'!A:K,7,FALSE)</f>
        <v>RIFT</v>
      </c>
      <c r="K6" s="7" t="str">
        <f>VLOOKUP(E6,'M2'!A:K,9,FALSE)</f>
        <v>Z</v>
      </c>
      <c r="L6" s="7">
        <f>VLOOKUP(E6,'M2'!A:K,3,FALSE)</f>
        <v>0.5</v>
      </c>
      <c r="M6" s="7" t="str">
        <f>VLOOKUP(E6,'M2'!A:K,4,FALSE)</f>
        <v>NON</v>
      </c>
      <c r="N6" s="7">
        <f>VLOOKUP(E6,'M2'!A:K,5,FALSE)</f>
        <v>2500</v>
      </c>
      <c r="O6" s="13">
        <v>60</v>
      </c>
      <c r="P6" s="13">
        <v>40</v>
      </c>
      <c r="Q6" s="21"/>
    </row>
    <row r="7" spans="1:17">
      <c r="A7" s="7" t="s">
        <v>1152</v>
      </c>
      <c r="B7" s="10" t="s">
        <v>1165</v>
      </c>
      <c r="C7" s="7" t="s">
        <v>1116</v>
      </c>
      <c r="D7" s="7">
        <v>2</v>
      </c>
      <c r="E7" s="7" t="s">
        <v>1166</v>
      </c>
      <c r="F7" s="7" t="s">
        <v>50</v>
      </c>
      <c r="G7" s="7"/>
      <c r="H7" s="7" t="s">
        <v>1162</v>
      </c>
      <c r="I7" s="7" t="s">
        <v>1163</v>
      </c>
      <c r="J7" s="7" t="str">
        <f>VLOOKUP(E7,V!A:K,7,FALSE)</f>
        <v>PC</v>
      </c>
      <c r="K7" s="7" t="str">
        <f>VLOOKUP(E7,V!A:K,9,FALSE)</f>
        <v>Z</v>
      </c>
      <c r="L7" s="7">
        <f>VLOOKUP(E7,V!A:K,3,FALSE)</f>
        <v>0.5</v>
      </c>
      <c r="M7" s="7">
        <f>VLOOKUP(E7,V!A:K,4,FALSE)</f>
        <v>1265</v>
      </c>
      <c r="N7" s="7">
        <f>VLOOKUP(E7,V!A:K,5,FALSE)</f>
        <v>3100</v>
      </c>
      <c r="O7" s="13"/>
      <c r="P7" s="13"/>
    </row>
    <row r="8" spans="1:17">
      <c r="A8" s="7" t="s">
        <v>1152</v>
      </c>
      <c r="B8" s="10" t="s">
        <v>1165</v>
      </c>
      <c r="C8" s="7" t="s">
        <v>1116</v>
      </c>
      <c r="D8" s="7">
        <v>3</v>
      </c>
      <c r="E8" s="7" t="s">
        <v>1160</v>
      </c>
      <c r="F8" s="7" t="s">
        <v>50</v>
      </c>
      <c r="G8" s="7"/>
      <c r="H8" s="7" t="s">
        <v>1162</v>
      </c>
      <c r="I8" s="7" t="s">
        <v>1163</v>
      </c>
      <c r="J8" s="7" t="str">
        <f>VLOOKUP(E8,V!A:K,7,FALSE)</f>
        <v>RIFT</v>
      </c>
      <c r="K8" s="7" t="str">
        <f>VLOOKUP(E8,V!A:K,9,FALSE)</f>
        <v>Z</v>
      </c>
      <c r="L8" s="7">
        <f>VLOOKUP(E8,V!A:K,3,FALSE)</f>
        <v>0.5</v>
      </c>
      <c r="M8" s="7">
        <f>VLOOKUP(E8,V!A:K,4,FALSE)</f>
        <v>1265</v>
      </c>
      <c r="N8" s="7">
        <f>VLOOKUP(E8,V!A:K,5,FALSE)</f>
        <v>3100</v>
      </c>
      <c r="O8" s="13"/>
      <c r="P8" s="13"/>
    </row>
    <row r="9" spans="1:17">
      <c r="A9" s="7" t="s">
        <v>1152</v>
      </c>
      <c r="B9" s="10" t="s">
        <v>1165</v>
      </c>
      <c r="C9" s="7" t="s">
        <v>1116</v>
      </c>
      <c r="D9" s="7">
        <v>4</v>
      </c>
      <c r="E9" s="7" t="s">
        <v>1159</v>
      </c>
      <c r="F9" s="7" t="s">
        <v>50</v>
      </c>
      <c r="G9" s="7"/>
      <c r="H9" s="7" t="s">
        <v>1162</v>
      </c>
      <c r="I9" s="7" t="s">
        <v>1163</v>
      </c>
      <c r="J9" s="7" t="str">
        <f>VLOOKUP(E9,V!A:K,7,FALSE)</f>
        <v>RIFT</v>
      </c>
      <c r="K9" s="7" t="str">
        <f>VLOOKUP(E9,V!A:K,9,FALSE)</f>
        <v>Z</v>
      </c>
      <c r="L9" s="7">
        <f>VLOOKUP(E9,V!A:K,3,FALSE)</f>
        <v>0.5</v>
      </c>
      <c r="M9" s="7">
        <f>VLOOKUP(E9,V!A:K,4,FALSE)</f>
        <v>1265</v>
      </c>
      <c r="N9" s="7">
        <f>VLOOKUP(E9,V!A:K,5,FALSE)</f>
        <v>2520</v>
      </c>
      <c r="O9" s="13"/>
      <c r="P9" s="13"/>
    </row>
    <row r="10" spans="1:17">
      <c r="A10" s="23" t="s">
        <v>1153</v>
      </c>
      <c r="B10" s="10" t="s">
        <v>1167</v>
      </c>
      <c r="C10" s="7" t="s">
        <v>46</v>
      </c>
      <c r="D10" s="7" t="s">
        <v>32</v>
      </c>
      <c r="E10" s="7" t="s">
        <v>1141</v>
      </c>
      <c r="F10" s="7" t="s">
        <v>50</v>
      </c>
      <c r="G10" s="7"/>
      <c r="H10" s="7" t="s">
        <v>51</v>
      </c>
      <c r="I10" s="7" t="s">
        <v>1148</v>
      </c>
      <c r="J10" s="7" t="str">
        <f>VLOOKUP(E10,'M2'!A:K,7,FALSE)</f>
        <v>RIFT</v>
      </c>
      <c r="K10" s="7" t="str">
        <f>VLOOKUP(E10,'M2'!A:K,9,FALSE)</f>
        <v>Z</v>
      </c>
      <c r="L10" s="7">
        <f>VLOOKUP(E10,'M2'!A:K,3,FALSE)</f>
        <v>0.4</v>
      </c>
      <c r="M10" s="7" t="str">
        <f>VLOOKUP(E10,'M2'!A:K,4,FALSE)</f>
        <v>NON</v>
      </c>
      <c r="N10" s="7">
        <f>VLOOKUP(E10,'M2'!A:K,5,FALSE)</f>
        <v>2500</v>
      </c>
      <c r="O10" s="13">
        <v>60</v>
      </c>
      <c r="P10" s="13">
        <v>40</v>
      </c>
      <c r="Q10" s="21"/>
    </row>
    <row r="11" spans="1:17">
      <c r="A11" s="7" t="s">
        <v>1153</v>
      </c>
      <c r="B11" s="10" t="s">
        <v>1167</v>
      </c>
      <c r="C11" s="7" t="s">
        <v>1116</v>
      </c>
      <c r="D11" s="7">
        <v>2</v>
      </c>
      <c r="E11" s="7" t="s">
        <v>1168</v>
      </c>
      <c r="F11" s="7" t="s">
        <v>50</v>
      </c>
      <c r="G11" s="7"/>
      <c r="H11" s="7" t="s">
        <v>1162</v>
      </c>
      <c r="I11" s="7" t="s">
        <v>1163</v>
      </c>
      <c r="J11" s="7" t="str">
        <f>VLOOKUP(E11,V!A:K,7,FALSE)</f>
        <v>RIFT</v>
      </c>
      <c r="K11" s="7" t="str">
        <f>VLOOKUP(E11,V!A:K,9,FALSE)</f>
        <v>Z</v>
      </c>
      <c r="L11" s="7">
        <f>VLOOKUP(E11,V!A:K,3,FALSE)</f>
        <v>0.4</v>
      </c>
      <c r="M11" s="7">
        <f>VLOOKUP(E11,V!A:K,4,FALSE)</f>
        <v>965</v>
      </c>
      <c r="N11" s="7">
        <f>VLOOKUP(E11,V!A:K,5,FALSE)</f>
        <v>2250</v>
      </c>
      <c r="O11" s="13"/>
      <c r="P11" s="13"/>
    </row>
    <row r="12" spans="1:17">
      <c r="A12" s="7" t="s">
        <v>1153</v>
      </c>
      <c r="B12" s="10" t="s">
        <v>1167</v>
      </c>
      <c r="C12" s="7" t="s">
        <v>1116</v>
      </c>
      <c r="D12" s="7">
        <v>3</v>
      </c>
      <c r="E12" s="7" t="s">
        <v>1169</v>
      </c>
      <c r="F12" s="7" t="s">
        <v>50</v>
      </c>
      <c r="G12" s="7"/>
      <c r="H12" s="7" t="s">
        <v>1162</v>
      </c>
      <c r="I12" s="7" t="s">
        <v>1163</v>
      </c>
      <c r="J12" s="7" t="str">
        <f>VLOOKUP(E12,V!A:K,7,FALSE)</f>
        <v>RIFT</v>
      </c>
      <c r="K12" s="7" t="str">
        <f>VLOOKUP(E12,V!A:K,9,FALSE)</f>
        <v>Z</v>
      </c>
      <c r="L12" s="7">
        <f>VLOOKUP(E12,V!A:K,3,FALSE)</f>
        <v>0.4</v>
      </c>
      <c r="M12" s="7">
        <f>VLOOKUP(E12,V!A:K,4,FALSE)</f>
        <v>1265</v>
      </c>
      <c r="N12" s="7">
        <f>VLOOKUP(E12,V!A:K,5,FALSE)</f>
        <v>2520</v>
      </c>
      <c r="O12" s="13"/>
      <c r="P12" s="13"/>
    </row>
    <row r="13" spans="1:17">
      <c r="A13" s="7" t="s">
        <v>1153</v>
      </c>
      <c r="B13" s="10" t="s">
        <v>1167</v>
      </c>
      <c r="C13" s="7" t="s">
        <v>1116</v>
      </c>
      <c r="D13" s="7">
        <v>4</v>
      </c>
      <c r="E13" s="7" t="s">
        <v>1170</v>
      </c>
      <c r="F13" s="7" t="s">
        <v>50</v>
      </c>
      <c r="G13" s="7"/>
      <c r="H13" s="7" t="s">
        <v>1162</v>
      </c>
      <c r="I13" s="7" t="s">
        <v>1163</v>
      </c>
      <c r="J13" s="7" t="str">
        <f>VLOOKUP(E13,V!A:K,7,FALSE)</f>
        <v>RIFT</v>
      </c>
      <c r="K13" s="7" t="str">
        <f>VLOOKUP(E13,V!A:K,9,FALSE)</f>
        <v>Z</v>
      </c>
      <c r="L13" s="7">
        <f>VLOOKUP(E13,V!A:K,3,FALSE)</f>
        <v>0.4</v>
      </c>
      <c r="M13" s="7">
        <f>VLOOKUP(E13,V!A:K,4,FALSE)</f>
        <v>1265</v>
      </c>
      <c r="N13" s="7">
        <f>VLOOKUP(E13,V!A:K,5,FALSE)</f>
        <v>3100</v>
      </c>
      <c r="O13" s="13"/>
      <c r="P13" s="13"/>
    </row>
    <row r="14" spans="1:17">
      <c r="A14" s="7" t="s">
        <v>1153</v>
      </c>
      <c r="B14" s="10" t="s">
        <v>1167</v>
      </c>
      <c r="C14" s="7" t="s">
        <v>1116</v>
      </c>
      <c r="D14" s="7">
        <v>5</v>
      </c>
      <c r="E14" s="7" t="s">
        <v>1171</v>
      </c>
      <c r="F14" s="7" t="s">
        <v>50</v>
      </c>
      <c r="G14" s="7"/>
      <c r="H14" s="7" t="s">
        <v>1162</v>
      </c>
      <c r="I14" s="7" t="s">
        <v>1163</v>
      </c>
      <c r="J14" s="7" t="str">
        <f>VLOOKUP(E14,V!A:K,7,FALSE)</f>
        <v>PC</v>
      </c>
      <c r="K14" s="7" t="str">
        <f>VLOOKUP(E14,V!A:K,9,FALSE)</f>
        <v>Z</v>
      </c>
      <c r="L14" s="7">
        <f>VLOOKUP(E14,V!A:K,3,FALSE)</f>
        <v>0.4</v>
      </c>
      <c r="M14" s="7">
        <f>VLOOKUP(E14,V!A:K,4,FALSE)</f>
        <v>1265</v>
      </c>
      <c r="N14" s="7">
        <f>VLOOKUP(E14,V!A:K,5,FALSE)</f>
        <v>2520</v>
      </c>
      <c r="O14" s="13"/>
      <c r="P14" s="13"/>
    </row>
    <row r="15" spans="1:17">
      <c r="A15" s="7" t="s">
        <v>1153</v>
      </c>
      <c r="B15" s="10" t="s">
        <v>1167</v>
      </c>
      <c r="C15" s="7" t="s">
        <v>1116</v>
      </c>
      <c r="D15" s="7">
        <v>6</v>
      </c>
      <c r="E15" s="7" t="s">
        <v>1172</v>
      </c>
      <c r="F15" s="7" t="s">
        <v>50</v>
      </c>
      <c r="G15" s="7"/>
      <c r="H15" s="7" t="s">
        <v>1162</v>
      </c>
      <c r="I15" s="7" t="s">
        <v>1163</v>
      </c>
      <c r="J15" s="7" t="str">
        <f>VLOOKUP(E15,V!A:K,7,FALSE)</f>
        <v>RIFT</v>
      </c>
      <c r="K15" s="7" t="str">
        <f>VLOOKUP(E15,V!A:K,9,FALSE)</f>
        <v>Z</v>
      </c>
      <c r="L15" s="7">
        <f>VLOOKUP(E15,V!A:K,3,FALSE)</f>
        <v>0.4</v>
      </c>
      <c r="M15" s="7">
        <f>VLOOKUP(E15,V!A:K,4,FALSE)</f>
        <v>965</v>
      </c>
      <c r="N15" s="7">
        <f>VLOOKUP(E15,V!A:K,5,FALSE)</f>
        <v>2520</v>
      </c>
      <c r="O15" s="13"/>
      <c r="P15" s="13"/>
    </row>
    <row r="16" spans="1:17">
      <c r="A16" s="7" t="s">
        <v>1153</v>
      </c>
      <c r="B16" s="10" t="s">
        <v>1167</v>
      </c>
      <c r="C16" s="7" t="s">
        <v>1116</v>
      </c>
      <c r="D16" s="7">
        <v>7</v>
      </c>
      <c r="E16" s="7" t="s">
        <v>1173</v>
      </c>
      <c r="F16" s="7" t="s">
        <v>50</v>
      </c>
      <c r="G16" s="7"/>
      <c r="H16" s="7" t="s">
        <v>1162</v>
      </c>
      <c r="I16" s="7" t="s">
        <v>1163</v>
      </c>
      <c r="J16" s="7" t="str">
        <f>VLOOKUP(E16,V!A:K,7,FALSE)</f>
        <v>PC</v>
      </c>
      <c r="K16" s="7" t="str">
        <f>VLOOKUP(E16,V!A:K,9,FALSE)</f>
        <v>Z</v>
      </c>
      <c r="L16" s="7">
        <f>VLOOKUP(E16,V!A:K,3,FALSE)</f>
        <v>0.4</v>
      </c>
      <c r="M16" s="7">
        <f>VLOOKUP(E16,V!A:K,4,FALSE)</f>
        <v>965</v>
      </c>
      <c r="N16" s="7">
        <f>VLOOKUP(E16,V!A:K,5,FALSE)</f>
        <v>2520</v>
      </c>
      <c r="O16" s="13"/>
      <c r="P16" s="13"/>
    </row>
    <row r="17" spans="1:16">
      <c r="A17" s="7" t="s">
        <v>1153</v>
      </c>
      <c r="B17" s="10" t="s">
        <v>1167</v>
      </c>
      <c r="C17" s="7" t="s">
        <v>1116</v>
      </c>
      <c r="D17" s="7">
        <v>8</v>
      </c>
      <c r="E17" s="7" t="s">
        <v>1159</v>
      </c>
      <c r="F17" s="7" t="s">
        <v>50</v>
      </c>
      <c r="G17" s="7"/>
      <c r="H17" s="7" t="s">
        <v>1162</v>
      </c>
      <c r="I17" s="7" t="s">
        <v>1163</v>
      </c>
      <c r="J17" s="7" t="str">
        <f>VLOOKUP(E17,V!A:K,7,FALSE)</f>
        <v>RIFT</v>
      </c>
      <c r="K17" s="7" t="str">
        <f>VLOOKUP(E17,V!A:K,9,FALSE)</f>
        <v>Z</v>
      </c>
      <c r="L17" s="7">
        <f>VLOOKUP(E17,V!A:K,3,FALSE)</f>
        <v>0.5</v>
      </c>
      <c r="M17" s="7">
        <f>VLOOKUP(E17,V!A:K,4,FALSE)</f>
        <v>1265</v>
      </c>
      <c r="N17" s="7">
        <f>VLOOKUP(E17,V!A:K,5,FALSE)</f>
        <v>2520</v>
      </c>
      <c r="O17" s="13"/>
      <c r="P17" s="13"/>
    </row>
    <row r="18" spans="1:16">
      <c r="A18" s="23" t="s">
        <v>1154</v>
      </c>
      <c r="B18" s="10" t="s">
        <v>1174</v>
      </c>
      <c r="C18" s="7" t="s">
        <v>46</v>
      </c>
      <c r="D18" s="7" t="s">
        <v>32</v>
      </c>
      <c r="E18" s="7" t="s">
        <v>1142</v>
      </c>
      <c r="F18" s="7" t="s">
        <v>50</v>
      </c>
      <c r="G18" s="7"/>
      <c r="H18" s="7" t="s">
        <v>51</v>
      </c>
      <c r="I18" s="7" t="s">
        <v>1147</v>
      </c>
      <c r="J18" s="7" t="str">
        <f>VLOOKUP(E18,'M2'!A:K,7,FALSE)</f>
        <v>RIFT</v>
      </c>
      <c r="K18" s="7" t="str">
        <f>VLOOKUP(E18,'M2'!A:K,9,FALSE)</f>
        <v>Z</v>
      </c>
      <c r="L18" s="7">
        <f>VLOOKUP(E18,'M2'!A:K,3,FALSE)</f>
        <v>0.4</v>
      </c>
      <c r="M18" s="7" t="str">
        <f>VLOOKUP(E18,'M2'!A:K,4,FALSE)</f>
        <v>NON</v>
      </c>
      <c r="N18" s="7">
        <f>VLOOKUP(E18,'M2'!A:K,5,FALSE)</f>
        <v>2500</v>
      </c>
      <c r="O18" s="13">
        <v>60</v>
      </c>
      <c r="P18" s="13">
        <v>40</v>
      </c>
    </row>
    <row r="19" spans="1:16">
      <c r="A19" s="7" t="s">
        <v>1154</v>
      </c>
      <c r="B19" s="10" t="s">
        <v>1174</v>
      </c>
      <c r="C19" s="7" t="s">
        <v>1116</v>
      </c>
      <c r="D19" s="7">
        <v>2</v>
      </c>
      <c r="E19" s="7" t="s">
        <v>1170</v>
      </c>
      <c r="F19" s="7" t="s">
        <v>50</v>
      </c>
      <c r="G19" s="7"/>
      <c r="H19" s="7" t="s">
        <v>1162</v>
      </c>
      <c r="I19" s="7" t="s">
        <v>1163</v>
      </c>
      <c r="J19" s="7" t="str">
        <f>VLOOKUP(E19,V!A:K,7,FALSE)</f>
        <v>RIFT</v>
      </c>
      <c r="K19" s="7" t="str">
        <f>VLOOKUP(E19,V!A:K,9,FALSE)</f>
        <v>Z</v>
      </c>
      <c r="L19" s="7">
        <f>VLOOKUP(E19,V!A:K,3,FALSE)</f>
        <v>0.4</v>
      </c>
      <c r="M19" s="7">
        <f>VLOOKUP(E19,V!A:K,4,FALSE)</f>
        <v>1265</v>
      </c>
      <c r="N19" s="7">
        <f>VLOOKUP(E19,V!A:K,5,FALSE)</f>
        <v>3100</v>
      </c>
      <c r="O19" s="13"/>
      <c r="P19" s="13"/>
    </row>
    <row r="20" spans="1:16">
      <c r="A20" s="7" t="s">
        <v>1154</v>
      </c>
      <c r="B20" s="10" t="s">
        <v>1174</v>
      </c>
      <c r="C20" s="7" t="s">
        <v>1116</v>
      </c>
      <c r="D20" s="7">
        <v>3</v>
      </c>
      <c r="E20" s="7" t="s">
        <v>1169</v>
      </c>
      <c r="F20" s="7" t="s">
        <v>50</v>
      </c>
      <c r="G20" s="7"/>
      <c r="H20" s="7" t="s">
        <v>1162</v>
      </c>
      <c r="I20" s="7" t="s">
        <v>1163</v>
      </c>
      <c r="J20" s="7" t="str">
        <f>VLOOKUP(E20,V!A:K,7,FALSE)</f>
        <v>RIFT</v>
      </c>
      <c r="K20" s="7" t="str">
        <f>VLOOKUP(E20,V!A:K,9,FALSE)</f>
        <v>Z</v>
      </c>
      <c r="L20" s="7">
        <f>VLOOKUP(E20,V!A:K,3,FALSE)</f>
        <v>0.4</v>
      </c>
      <c r="M20" s="7">
        <f>VLOOKUP(E20,V!A:K,4,FALSE)</f>
        <v>1265</v>
      </c>
      <c r="N20" s="7">
        <f>VLOOKUP(E20,V!A:K,5,FALSE)</f>
        <v>2520</v>
      </c>
      <c r="O20" s="13"/>
      <c r="P20" s="13"/>
    </row>
    <row r="21" spans="1:16">
      <c r="A21" s="7" t="s">
        <v>1154</v>
      </c>
      <c r="B21" s="10" t="s">
        <v>1174</v>
      </c>
      <c r="C21" s="7" t="s">
        <v>1116</v>
      </c>
      <c r="D21" s="7" t="s">
        <v>1117</v>
      </c>
      <c r="E21" s="7" t="s">
        <v>1171</v>
      </c>
      <c r="F21" s="7" t="s">
        <v>50</v>
      </c>
      <c r="G21" s="7"/>
      <c r="H21" s="7" t="s">
        <v>1162</v>
      </c>
      <c r="I21" s="7" t="s">
        <v>1163</v>
      </c>
      <c r="J21" s="7" t="str">
        <f>VLOOKUP(E21,V!A:K,7,FALSE)</f>
        <v>PC</v>
      </c>
      <c r="K21" s="7" t="str">
        <f>VLOOKUP(E21,V!A:K,9,FALSE)</f>
        <v>Z</v>
      </c>
      <c r="L21" s="7">
        <f>VLOOKUP(E21,V!A:K,3,FALSE)</f>
        <v>0.4</v>
      </c>
      <c r="M21" s="7">
        <f>VLOOKUP(E21,V!A:K,4,FALSE)</f>
        <v>1265</v>
      </c>
      <c r="N21" s="7">
        <f>VLOOKUP(E21,V!A:K,5,FALSE)</f>
        <v>2520</v>
      </c>
      <c r="O21" s="13"/>
      <c r="P21" s="13"/>
    </row>
    <row r="22" spans="1:16">
      <c r="A22" s="7" t="s">
        <v>1154</v>
      </c>
      <c r="B22" s="10" t="s">
        <v>1174</v>
      </c>
      <c r="C22" s="7" t="s">
        <v>1116</v>
      </c>
      <c r="D22" s="7">
        <v>4</v>
      </c>
      <c r="E22" s="7" t="s">
        <v>1168</v>
      </c>
      <c r="F22" s="7" t="s">
        <v>50</v>
      </c>
      <c r="G22" s="7"/>
      <c r="H22" s="7" t="s">
        <v>1162</v>
      </c>
      <c r="I22" s="7" t="s">
        <v>1163</v>
      </c>
      <c r="J22" s="7" t="str">
        <f>VLOOKUP(E22,V!A:K,7,FALSE)</f>
        <v>RIFT</v>
      </c>
      <c r="K22" s="7" t="str">
        <f>VLOOKUP(E22,V!A:K,9,FALSE)</f>
        <v>Z</v>
      </c>
      <c r="L22" s="7">
        <f>VLOOKUP(E22,V!A:K,3,FALSE)</f>
        <v>0.4</v>
      </c>
      <c r="M22" s="7">
        <f>VLOOKUP(E22,V!A:K,4,FALSE)</f>
        <v>965</v>
      </c>
      <c r="N22" s="7">
        <f>VLOOKUP(E22,V!A:K,5,FALSE)</f>
        <v>2250</v>
      </c>
      <c r="O22" s="13"/>
      <c r="P22" s="13"/>
    </row>
    <row r="23" spans="1:16">
      <c r="A23" s="7" t="s">
        <v>1154</v>
      </c>
      <c r="B23" s="10" t="s">
        <v>1174</v>
      </c>
      <c r="C23" s="7" t="s">
        <v>1116</v>
      </c>
      <c r="D23" s="7">
        <v>5</v>
      </c>
      <c r="E23" s="7" t="s">
        <v>1172</v>
      </c>
      <c r="F23" s="7" t="s">
        <v>50</v>
      </c>
      <c r="G23" s="7"/>
      <c r="H23" s="7" t="s">
        <v>1162</v>
      </c>
      <c r="I23" s="7" t="s">
        <v>1163</v>
      </c>
      <c r="J23" s="7" t="str">
        <f>VLOOKUP(E23,V!A:K,7,FALSE)</f>
        <v>RIFT</v>
      </c>
      <c r="K23" s="7" t="str">
        <f>VLOOKUP(E23,V!A:K,9,FALSE)</f>
        <v>Z</v>
      </c>
      <c r="L23" s="7">
        <f>VLOOKUP(E23,V!A:K,3,FALSE)</f>
        <v>0.4</v>
      </c>
      <c r="M23" s="7">
        <f>VLOOKUP(E23,V!A:K,4,FALSE)</f>
        <v>965</v>
      </c>
      <c r="N23" s="7">
        <f>VLOOKUP(E23,V!A:K,5,FALSE)</f>
        <v>2520</v>
      </c>
      <c r="O23" s="13"/>
      <c r="P23" s="13"/>
    </row>
    <row r="24" spans="1:16">
      <c r="A24" s="7" t="s">
        <v>1154</v>
      </c>
      <c r="B24" s="10" t="s">
        <v>1174</v>
      </c>
      <c r="C24" s="7" t="s">
        <v>1116</v>
      </c>
      <c r="D24" s="7" t="s">
        <v>1118</v>
      </c>
      <c r="E24" s="7" t="s">
        <v>1159</v>
      </c>
      <c r="F24" s="7" t="s">
        <v>50</v>
      </c>
      <c r="G24" s="7"/>
      <c r="H24" s="7" t="s">
        <v>1162</v>
      </c>
      <c r="I24" s="7" t="s">
        <v>1163</v>
      </c>
      <c r="J24" s="7" t="str">
        <f>VLOOKUP(E24,V!A:K,7,FALSE)</f>
        <v>RIFT</v>
      </c>
      <c r="K24" s="7" t="str">
        <f>VLOOKUP(E24,V!A:K,9,FALSE)</f>
        <v>Z</v>
      </c>
      <c r="L24" s="7">
        <f>VLOOKUP(E24,V!A:K,3,FALSE)</f>
        <v>0.5</v>
      </c>
      <c r="M24" s="7">
        <f>VLOOKUP(E24,V!A:K,4,FALSE)</f>
        <v>1265</v>
      </c>
      <c r="N24" s="7">
        <f>VLOOKUP(E24,V!A:K,5,FALSE)</f>
        <v>2520</v>
      </c>
      <c r="O24" s="13"/>
      <c r="P24" s="13"/>
    </row>
    <row r="25" spans="1:16">
      <c r="A25" s="7" t="s">
        <v>1154</v>
      </c>
      <c r="B25" s="10" t="s">
        <v>1174</v>
      </c>
      <c r="C25" s="7" t="s">
        <v>1116</v>
      </c>
      <c r="D25" s="7">
        <v>6</v>
      </c>
      <c r="E25" s="7" t="s">
        <v>1175</v>
      </c>
      <c r="F25" s="7" t="s">
        <v>50</v>
      </c>
      <c r="G25" s="7"/>
      <c r="H25" s="7" t="s">
        <v>1162</v>
      </c>
      <c r="I25" s="7" t="s">
        <v>1163</v>
      </c>
      <c r="J25" s="7" t="str">
        <f>VLOOKUP(E25,V!A:K,7,FALSE)</f>
        <v>RIFT</v>
      </c>
      <c r="K25" s="7" t="str">
        <f>VLOOKUP(E25,V!A:K,9,FALSE)</f>
        <v>Z</v>
      </c>
      <c r="L25" s="7">
        <f>VLOOKUP(E25,V!A:K,3,FALSE)</f>
        <v>0.4</v>
      </c>
      <c r="M25" s="7">
        <f>VLOOKUP(E25,V!A:K,4,FALSE)</f>
        <v>965</v>
      </c>
      <c r="N25" s="7">
        <f>VLOOKUP(E25,V!A:K,5,FALSE)</f>
        <v>2800</v>
      </c>
      <c r="O25" s="13"/>
      <c r="P25" s="13"/>
    </row>
    <row r="26" spans="1:16">
      <c r="A26" s="23" t="s">
        <v>1155</v>
      </c>
      <c r="B26" s="10" t="s">
        <v>1178</v>
      </c>
      <c r="C26" s="7" t="s">
        <v>46</v>
      </c>
      <c r="D26" s="7" t="s">
        <v>32</v>
      </c>
      <c r="E26" s="7" t="s">
        <v>1143</v>
      </c>
      <c r="F26" s="7" t="s">
        <v>50</v>
      </c>
      <c r="G26" s="7"/>
      <c r="H26" s="7" t="s">
        <v>51</v>
      </c>
      <c r="I26" s="7" t="s">
        <v>1149</v>
      </c>
      <c r="J26" s="7" t="str">
        <f>VLOOKUP(E26,'M2'!A:K,7,FALSE)</f>
        <v>PC</v>
      </c>
      <c r="K26" s="7" t="str">
        <f>VLOOKUP(E26,'M2'!A:K,9,FALSE)</f>
        <v>Z</v>
      </c>
      <c r="L26" s="7">
        <f>VLOOKUP(E26,'M2'!A:K,3,FALSE)</f>
        <v>0.4</v>
      </c>
      <c r="M26" s="7" t="str">
        <f>VLOOKUP(E26,'M2'!A:K,4,FALSE)</f>
        <v>NON</v>
      </c>
      <c r="N26" s="7">
        <f>VLOOKUP(E26,'M2'!A:K,5,FALSE)</f>
        <v>2500</v>
      </c>
      <c r="O26" s="13">
        <v>60</v>
      </c>
      <c r="P26" s="13">
        <v>40</v>
      </c>
    </row>
    <row r="27" spans="1:16">
      <c r="A27" s="7" t="s">
        <v>1155</v>
      </c>
      <c r="B27" s="10" t="s">
        <v>1178</v>
      </c>
      <c r="C27" s="7" t="s">
        <v>1116</v>
      </c>
      <c r="D27" s="7">
        <v>2</v>
      </c>
      <c r="E27" s="7" t="s">
        <v>1176</v>
      </c>
      <c r="F27" s="7" t="s">
        <v>50</v>
      </c>
      <c r="G27" s="7"/>
      <c r="H27" s="7" t="s">
        <v>1162</v>
      </c>
      <c r="I27" s="7" t="s">
        <v>1163</v>
      </c>
      <c r="J27" s="7" t="str">
        <f>VLOOKUP(E27,V!A:K,7,FALSE)</f>
        <v>PC</v>
      </c>
      <c r="K27" s="7" t="str">
        <f>VLOOKUP(E27,V!A:K,9,FALSE)</f>
        <v>Z</v>
      </c>
      <c r="L27" s="7">
        <f>VLOOKUP(E27,V!A:K,3,FALSE)</f>
        <v>0.4</v>
      </c>
      <c r="M27" s="7">
        <f>VLOOKUP(E27,V!A:K,4,FALSE)</f>
        <v>1265</v>
      </c>
      <c r="N27" s="7">
        <f>VLOOKUP(E27,V!A:K,5,FALSE)</f>
        <v>3100</v>
      </c>
      <c r="O27" s="13"/>
      <c r="P27" s="13"/>
    </row>
    <row r="28" spans="1:16">
      <c r="A28" s="7" t="s">
        <v>1155</v>
      </c>
      <c r="B28" s="10" t="s">
        <v>1178</v>
      </c>
      <c r="C28" s="7" t="s">
        <v>1116</v>
      </c>
      <c r="D28" s="7" t="s">
        <v>1117</v>
      </c>
      <c r="E28" s="7" t="s">
        <v>1170</v>
      </c>
      <c r="F28" s="7" t="s">
        <v>50</v>
      </c>
      <c r="G28" s="7"/>
      <c r="H28" s="7" t="s">
        <v>1162</v>
      </c>
      <c r="I28" s="7" t="s">
        <v>1163</v>
      </c>
      <c r="J28" s="7" t="str">
        <f>VLOOKUP(E28,V!A:K,7,FALSE)</f>
        <v>RIFT</v>
      </c>
      <c r="K28" s="7" t="str">
        <f>VLOOKUP(E28,V!A:K,9,FALSE)</f>
        <v>Z</v>
      </c>
      <c r="L28" s="7">
        <f>VLOOKUP(E28,V!A:K,3,FALSE)</f>
        <v>0.4</v>
      </c>
      <c r="M28" s="7">
        <f>VLOOKUP(E28,V!A:K,4,FALSE)</f>
        <v>1265</v>
      </c>
      <c r="N28" s="7">
        <f>VLOOKUP(E28,V!A:K,5,FALSE)</f>
        <v>3100</v>
      </c>
      <c r="O28" s="13"/>
      <c r="P28" s="13"/>
    </row>
    <row r="29" spans="1:16">
      <c r="A29" s="7" t="s">
        <v>1155</v>
      </c>
      <c r="B29" s="10" t="s">
        <v>1178</v>
      </c>
      <c r="C29" s="7" t="s">
        <v>1116</v>
      </c>
      <c r="D29" s="7">
        <v>3</v>
      </c>
      <c r="E29" s="7" t="s">
        <v>1169</v>
      </c>
      <c r="F29" s="7" t="s">
        <v>50</v>
      </c>
      <c r="G29" s="7"/>
      <c r="H29" s="7" t="s">
        <v>1162</v>
      </c>
      <c r="I29" s="7" t="s">
        <v>1163</v>
      </c>
      <c r="J29" s="7" t="str">
        <f>VLOOKUP(E29,V!A:K,7,FALSE)</f>
        <v>RIFT</v>
      </c>
      <c r="K29" s="7" t="str">
        <f>VLOOKUP(E29,V!A:K,9,FALSE)</f>
        <v>Z</v>
      </c>
      <c r="L29" s="7">
        <f>VLOOKUP(E29,V!A:K,3,FALSE)</f>
        <v>0.4</v>
      </c>
      <c r="M29" s="7">
        <f>VLOOKUP(E29,V!A:K,4,FALSE)</f>
        <v>1265</v>
      </c>
      <c r="N29" s="7">
        <f>VLOOKUP(E29,V!A:K,5,FALSE)</f>
        <v>2520</v>
      </c>
      <c r="O29" s="13"/>
      <c r="P29" s="13"/>
    </row>
    <row r="30" spans="1:16">
      <c r="A30" s="7" t="s">
        <v>1155</v>
      </c>
      <c r="B30" s="10" t="s">
        <v>1178</v>
      </c>
      <c r="C30" s="7" t="s">
        <v>1116</v>
      </c>
      <c r="D30" s="7" t="s">
        <v>1118</v>
      </c>
      <c r="E30" s="7" t="s">
        <v>1173</v>
      </c>
      <c r="F30" s="7" t="s">
        <v>50</v>
      </c>
      <c r="G30" s="7"/>
      <c r="H30" s="7" t="s">
        <v>1162</v>
      </c>
      <c r="I30" s="7" t="s">
        <v>1163</v>
      </c>
      <c r="J30" s="7" t="str">
        <f>VLOOKUP(E30,V!A:K,7,FALSE)</f>
        <v>PC</v>
      </c>
      <c r="K30" s="7" t="str">
        <f>VLOOKUP(E30,V!A:K,9,FALSE)</f>
        <v>Z</v>
      </c>
      <c r="L30" s="7">
        <f>VLOOKUP(E30,V!A:K,3,FALSE)</f>
        <v>0.4</v>
      </c>
      <c r="M30" s="7">
        <f>VLOOKUP(E30,V!A:K,4,FALSE)</f>
        <v>965</v>
      </c>
      <c r="N30" s="7">
        <f>VLOOKUP(E30,V!A:K,5,FALSE)</f>
        <v>2520</v>
      </c>
      <c r="O30" s="13"/>
      <c r="P30" s="13"/>
    </row>
    <row r="31" spans="1:16">
      <c r="A31" s="7" t="s">
        <v>1155</v>
      </c>
      <c r="B31" s="10" t="s">
        <v>1178</v>
      </c>
      <c r="C31" s="7" t="s">
        <v>1116</v>
      </c>
      <c r="D31" s="7">
        <v>4</v>
      </c>
      <c r="E31" s="7" t="s">
        <v>1171</v>
      </c>
      <c r="F31" s="7" t="s">
        <v>50</v>
      </c>
      <c r="G31" s="7"/>
      <c r="H31" s="7" t="s">
        <v>1162</v>
      </c>
      <c r="I31" s="7" t="s">
        <v>1163</v>
      </c>
      <c r="J31" s="7" t="str">
        <f>VLOOKUP(E31,V!A:K,7,FALSE)</f>
        <v>PC</v>
      </c>
      <c r="K31" s="7" t="str">
        <f>VLOOKUP(E31,V!A:K,9,FALSE)</f>
        <v>Z</v>
      </c>
      <c r="L31" s="7">
        <f>VLOOKUP(E31,V!A:K,3,FALSE)</f>
        <v>0.4</v>
      </c>
      <c r="M31" s="7">
        <f>VLOOKUP(E31,V!A:K,4,FALSE)</f>
        <v>1265</v>
      </c>
      <c r="N31" s="7">
        <f>VLOOKUP(E31,V!A:K,5,FALSE)</f>
        <v>2520</v>
      </c>
      <c r="O31" s="13"/>
      <c r="P31" s="13"/>
    </row>
    <row r="32" spans="1:16">
      <c r="A32" s="7" t="s">
        <v>1155</v>
      </c>
      <c r="B32" s="10" t="s">
        <v>1178</v>
      </c>
      <c r="C32" s="7" t="s">
        <v>1116</v>
      </c>
      <c r="D32" s="7" t="s">
        <v>1119</v>
      </c>
      <c r="E32" s="7" t="s">
        <v>1177</v>
      </c>
      <c r="F32" s="7" t="s">
        <v>50</v>
      </c>
      <c r="G32" s="7"/>
      <c r="H32" s="7" t="s">
        <v>1162</v>
      </c>
      <c r="I32" s="7" t="s">
        <v>1163</v>
      </c>
      <c r="J32" s="7" t="str">
        <f>VLOOKUP(E32,V!A:K,7,FALSE)</f>
        <v>PC</v>
      </c>
      <c r="K32" s="7" t="str">
        <f>VLOOKUP(E32,V!A:K,9,FALSE)</f>
        <v>Z</v>
      </c>
      <c r="L32" s="7">
        <f>VLOOKUP(E32,V!A:K,3,FALSE)</f>
        <v>0.5</v>
      </c>
      <c r="M32" s="7">
        <f>VLOOKUP(E32,V!A:K,4,FALSE)</f>
        <v>1265</v>
      </c>
      <c r="N32" s="7">
        <f>VLOOKUP(E32,V!A:K,5,FALSE)</f>
        <v>2520</v>
      </c>
      <c r="O32" s="13"/>
      <c r="P32" s="13"/>
    </row>
    <row r="33" spans="1:16">
      <c r="A33" s="23" t="s">
        <v>1156</v>
      </c>
      <c r="B33" s="10" t="s">
        <v>1179</v>
      </c>
      <c r="C33" s="7" t="s">
        <v>46</v>
      </c>
      <c r="D33" s="7" t="s">
        <v>32</v>
      </c>
      <c r="E33" s="7" t="s">
        <v>1144</v>
      </c>
      <c r="F33" s="7" t="s">
        <v>50</v>
      </c>
      <c r="G33" s="7"/>
      <c r="H33" s="7" t="s">
        <v>51</v>
      </c>
      <c r="I33" s="7" t="s">
        <v>1150</v>
      </c>
      <c r="J33" s="7" t="str">
        <f>VLOOKUP(E33,'M2'!A:K,7,FALSE)</f>
        <v>RIFT</v>
      </c>
      <c r="K33" s="7" t="str">
        <f>VLOOKUP(E33,'M2'!A:K,9,FALSE)</f>
        <v>Z</v>
      </c>
      <c r="L33" s="7">
        <f>VLOOKUP(E33,'M2'!A:K,3,FALSE)</f>
        <v>0.4</v>
      </c>
      <c r="M33" s="7" t="str">
        <f>VLOOKUP(E33,'M2'!A:K,4,FALSE)</f>
        <v>NON</v>
      </c>
      <c r="N33" s="7" t="str">
        <f>VLOOKUP(E33,'M2'!A:K,5,FALSE)</f>
        <v>2500+</v>
      </c>
      <c r="O33" s="13">
        <v>60</v>
      </c>
      <c r="P33" s="13">
        <v>40</v>
      </c>
    </row>
    <row r="34" spans="1:16">
      <c r="A34" s="7" t="s">
        <v>1156</v>
      </c>
      <c r="B34" s="10" t="s">
        <v>1179</v>
      </c>
      <c r="C34" s="7" t="s">
        <v>1116</v>
      </c>
      <c r="D34" s="7">
        <v>2</v>
      </c>
      <c r="E34" s="7" t="s">
        <v>1169</v>
      </c>
      <c r="F34" s="7" t="s">
        <v>50</v>
      </c>
      <c r="G34" s="7"/>
      <c r="H34" s="7" t="s">
        <v>1162</v>
      </c>
      <c r="I34" s="7" t="s">
        <v>1163</v>
      </c>
      <c r="J34" s="7" t="str">
        <f>VLOOKUP(E34,V!A:K,7,FALSE)</f>
        <v>RIFT</v>
      </c>
      <c r="K34" s="7" t="str">
        <f>VLOOKUP(E34,V!A:K,9,FALSE)</f>
        <v>Z</v>
      </c>
      <c r="L34" s="7">
        <f>VLOOKUP(E34,V!A:K,3,FALSE)</f>
        <v>0.4</v>
      </c>
      <c r="M34" s="7">
        <f>VLOOKUP(E34,V!A:K,4,FALSE)</f>
        <v>1265</v>
      </c>
      <c r="N34" s="7">
        <f>VLOOKUP(E34,V!A:K,5,FALSE)</f>
        <v>2520</v>
      </c>
      <c r="O34" s="13"/>
      <c r="P34" s="13"/>
    </row>
    <row r="35" spans="1:16">
      <c r="A35" s="7" t="s">
        <v>1156</v>
      </c>
      <c r="B35" s="10" t="s">
        <v>1179</v>
      </c>
      <c r="C35" s="7" t="s">
        <v>1116</v>
      </c>
      <c r="D35" s="7">
        <v>3</v>
      </c>
      <c r="E35" s="7" t="s">
        <v>1170</v>
      </c>
      <c r="F35" s="7" t="s">
        <v>50</v>
      </c>
      <c r="G35" s="7"/>
      <c r="H35" s="7" t="s">
        <v>1162</v>
      </c>
      <c r="I35" s="7" t="s">
        <v>1163</v>
      </c>
      <c r="J35" s="7" t="str">
        <f>VLOOKUP(E35,V!A:K,7,FALSE)</f>
        <v>RIFT</v>
      </c>
      <c r="K35" s="7" t="str">
        <f>VLOOKUP(E35,V!A:K,9,FALSE)</f>
        <v>Z</v>
      </c>
      <c r="L35" s="7">
        <f>VLOOKUP(E35,V!A:K,3,FALSE)</f>
        <v>0.4</v>
      </c>
      <c r="M35" s="7">
        <f>VLOOKUP(E35,V!A:K,4,FALSE)</f>
        <v>1265</v>
      </c>
      <c r="N35" s="7">
        <f>VLOOKUP(E35,V!A:K,5,FALSE)</f>
        <v>3100</v>
      </c>
      <c r="O35" s="13"/>
      <c r="P35" s="13"/>
    </row>
    <row r="36" spans="1:16">
      <c r="A36" s="7" t="s">
        <v>1156</v>
      </c>
      <c r="B36" s="10" t="s">
        <v>1179</v>
      </c>
      <c r="C36" s="7" t="s">
        <v>1116</v>
      </c>
      <c r="D36" s="7">
        <v>4</v>
      </c>
      <c r="E36" s="7" t="s">
        <v>1168</v>
      </c>
      <c r="F36" s="7" t="s">
        <v>50</v>
      </c>
      <c r="G36" s="7"/>
      <c r="H36" s="7" t="s">
        <v>1162</v>
      </c>
      <c r="I36" s="7" t="s">
        <v>1163</v>
      </c>
      <c r="J36" s="7" t="str">
        <f>VLOOKUP(E36,V!A:K,7,FALSE)</f>
        <v>RIFT</v>
      </c>
      <c r="K36" s="7" t="str">
        <f>VLOOKUP(E36,V!A:K,9,FALSE)</f>
        <v>Z</v>
      </c>
      <c r="L36" s="7">
        <f>VLOOKUP(E36,V!A:K,3,FALSE)</f>
        <v>0.4</v>
      </c>
      <c r="M36" s="7">
        <f>VLOOKUP(E36,V!A:K,4,FALSE)</f>
        <v>965</v>
      </c>
      <c r="N36" s="7">
        <f>VLOOKUP(E36,V!A:K,5,FALSE)</f>
        <v>2250</v>
      </c>
      <c r="O36" s="13"/>
      <c r="P36" s="13"/>
    </row>
    <row r="37" spans="1:16">
      <c r="A37" s="7" t="s">
        <v>1156</v>
      </c>
      <c r="B37" s="10" t="s">
        <v>1179</v>
      </c>
      <c r="C37" s="7" t="s">
        <v>1116</v>
      </c>
      <c r="D37" s="7">
        <v>5</v>
      </c>
      <c r="E37" s="7" t="s">
        <v>1172</v>
      </c>
      <c r="F37" s="7" t="s">
        <v>50</v>
      </c>
      <c r="G37" s="7"/>
      <c r="H37" s="7" t="s">
        <v>1162</v>
      </c>
      <c r="I37" s="7" t="s">
        <v>1163</v>
      </c>
      <c r="J37" s="7" t="str">
        <f>VLOOKUP(E37,V!A:K,7,FALSE)</f>
        <v>RIFT</v>
      </c>
      <c r="K37" s="7" t="str">
        <f>VLOOKUP(E37,V!A:K,9,FALSE)</f>
        <v>Z</v>
      </c>
      <c r="L37" s="7">
        <f>VLOOKUP(E37,V!A:K,3,FALSE)</f>
        <v>0.4</v>
      </c>
      <c r="M37" s="7">
        <f>VLOOKUP(E37,V!A:K,4,FALSE)</f>
        <v>965</v>
      </c>
      <c r="N37" s="7">
        <f>VLOOKUP(E37,V!A:K,5,FALSE)</f>
        <v>2520</v>
      </c>
      <c r="O37" s="13"/>
      <c r="P37" s="13"/>
    </row>
    <row r="38" spans="1:16">
      <c r="A38" s="7" t="s">
        <v>1156</v>
      </c>
      <c r="B38" s="10" t="s">
        <v>1179</v>
      </c>
      <c r="C38" s="7" t="s">
        <v>1116</v>
      </c>
      <c r="D38" s="7">
        <v>6</v>
      </c>
      <c r="E38" s="7" t="s">
        <v>1175</v>
      </c>
      <c r="F38" s="7" t="s">
        <v>50</v>
      </c>
      <c r="G38" s="7"/>
      <c r="H38" s="7" t="s">
        <v>1162</v>
      </c>
      <c r="I38" s="7" t="s">
        <v>1163</v>
      </c>
      <c r="J38" s="7" t="str">
        <f>VLOOKUP(E38,V!A:K,7,FALSE)</f>
        <v>RIFT</v>
      </c>
      <c r="K38" s="7" t="str">
        <f>VLOOKUP(E38,V!A:K,9,FALSE)</f>
        <v>Z</v>
      </c>
      <c r="L38" s="7">
        <f>VLOOKUP(E38,V!A:K,3,FALSE)</f>
        <v>0.4</v>
      </c>
      <c r="M38" s="7">
        <f>VLOOKUP(E38,V!A:K,4,FALSE)</f>
        <v>965</v>
      </c>
      <c r="N38" s="7">
        <f>VLOOKUP(E38,V!A:K,5,FALSE)</f>
        <v>2800</v>
      </c>
      <c r="O38" s="13"/>
      <c r="P38" s="13"/>
    </row>
    <row r="39" spans="1:16">
      <c r="A39" s="23" t="s">
        <v>1157</v>
      </c>
      <c r="B39" s="10" t="s">
        <v>1180</v>
      </c>
      <c r="C39" s="7" t="s">
        <v>46</v>
      </c>
      <c r="D39" s="7" t="s">
        <v>32</v>
      </c>
      <c r="E39" s="7" t="s">
        <v>1145</v>
      </c>
      <c r="F39" s="7" t="s">
        <v>50</v>
      </c>
      <c r="G39" s="7"/>
      <c r="H39" s="7" t="s">
        <v>51</v>
      </c>
      <c r="I39" s="7" t="s">
        <v>49</v>
      </c>
      <c r="J39" s="7" t="str">
        <f>VLOOKUP(E39,'M2'!A:K,7,FALSE)</f>
        <v>PC</v>
      </c>
      <c r="K39" s="7" t="str">
        <f>VLOOKUP(E39,'M2'!A:K,9,FALSE)</f>
        <v>Z</v>
      </c>
      <c r="L39" s="7">
        <f>VLOOKUP(E39,'M2'!A:K,3,FALSE)</f>
        <v>0.4</v>
      </c>
      <c r="M39" s="7" t="str">
        <f>VLOOKUP(E39,'M2'!A:K,4,FALSE)</f>
        <v>NON</v>
      </c>
      <c r="N39" s="7" t="str">
        <f>VLOOKUP(E39,'M2'!A:K,5,FALSE)</f>
        <v>2500+</v>
      </c>
      <c r="O39" s="13">
        <v>60</v>
      </c>
      <c r="P39" s="13">
        <v>40</v>
      </c>
    </row>
    <row r="40" spans="1:16">
      <c r="A40" s="7" t="s">
        <v>1157</v>
      </c>
      <c r="B40" s="10" t="s">
        <v>1180</v>
      </c>
      <c r="C40" s="7" t="s">
        <v>1116</v>
      </c>
      <c r="D40" s="7">
        <v>2</v>
      </c>
      <c r="E40" s="7" t="s">
        <v>1181</v>
      </c>
      <c r="F40" s="7" t="s">
        <v>50</v>
      </c>
      <c r="G40" s="7"/>
      <c r="H40" s="7" t="s">
        <v>1162</v>
      </c>
      <c r="I40" s="7" t="s">
        <v>1163</v>
      </c>
      <c r="J40" s="7" t="str">
        <f>VLOOKUP(E40,V!A:K,7,FALSE)</f>
        <v>PC</v>
      </c>
      <c r="K40" s="7" t="str">
        <f>VLOOKUP(E40,V!A:K,9,FALSE)</f>
        <v>Z</v>
      </c>
      <c r="L40" s="7">
        <f>VLOOKUP(E40,V!A:K,3,FALSE)</f>
        <v>0.4</v>
      </c>
      <c r="M40" s="7">
        <f>VLOOKUP(E40,V!A:K,4,FALSE)</f>
        <v>965</v>
      </c>
      <c r="N40" s="7">
        <f>VLOOKUP(E40,V!A:K,5,FALSE)</f>
        <v>2250</v>
      </c>
      <c r="O40" s="13"/>
      <c r="P40" s="13"/>
    </row>
    <row r="41" spans="1:16">
      <c r="A41" s="7" t="s">
        <v>1157</v>
      </c>
      <c r="B41" s="10" t="s">
        <v>1180</v>
      </c>
      <c r="C41" s="7" t="s">
        <v>1116</v>
      </c>
      <c r="D41" s="7">
        <v>3</v>
      </c>
      <c r="E41" s="7" t="s">
        <v>1176</v>
      </c>
      <c r="F41" s="7" t="s">
        <v>50</v>
      </c>
      <c r="G41" s="7"/>
      <c r="H41" s="7" t="s">
        <v>1162</v>
      </c>
      <c r="I41" s="7" t="s">
        <v>1163</v>
      </c>
      <c r="J41" s="7" t="str">
        <f>VLOOKUP(E41,V!A:K,7,FALSE)</f>
        <v>PC</v>
      </c>
      <c r="K41" s="7" t="str">
        <f>VLOOKUP(E41,V!A:K,9,FALSE)</f>
        <v>Z</v>
      </c>
      <c r="L41" s="7">
        <f>VLOOKUP(E41,V!A:K,3,FALSE)</f>
        <v>0.4</v>
      </c>
      <c r="M41" s="7">
        <f>VLOOKUP(E41,V!A:K,4,FALSE)</f>
        <v>1265</v>
      </c>
      <c r="N41" s="7">
        <f>VLOOKUP(E41,V!A:K,5,FALSE)</f>
        <v>3100</v>
      </c>
      <c r="O41" s="13"/>
      <c r="P41" s="13"/>
    </row>
    <row r="42" spans="1:16">
      <c r="A42" s="7" t="s">
        <v>1157</v>
      </c>
      <c r="B42" s="10" t="s">
        <v>1180</v>
      </c>
      <c r="C42" s="7" t="s">
        <v>1116</v>
      </c>
      <c r="D42" s="7">
        <v>4</v>
      </c>
      <c r="E42" s="7" t="s">
        <v>1171</v>
      </c>
      <c r="F42" s="7" t="s">
        <v>50</v>
      </c>
      <c r="G42" s="7"/>
      <c r="H42" s="7" t="s">
        <v>1162</v>
      </c>
      <c r="I42" s="7" t="s">
        <v>1163</v>
      </c>
      <c r="J42" s="7" t="str">
        <f>VLOOKUP(E42,V!A:K,7,FALSE)</f>
        <v>PC</v>
      </c>
      <c r="K42" s="7" t="str">
        <f>VLOOKUP(E42,V!A:K,9,FALSE)</f>
        <v>Z</v>
      </c>
      <c r="L42" s="7">
        <f>VLOOKUP(E42,V!A:K,3,FALSE)</f>
        <v>0.4</v>
      </c>
      <c r="M42" s="7">
        <f>VLOOKUP(E42,V!A:K,4,FALSE)</f>
        <v>1265</v>
      </c>
      <c r="N42" s="7">
        <f>VLOOKUP(E42,V!A:K,5,FALSE)</f>
        <v>2520</v>
      </c>
      <c r="O42" s="13"/>
      <c r="P42" s="13"/>
    </row>
    <row r="43" spans="1:16">
      <c r="A43" s="7" t="s">
        <v>1157</v>
      </c>
      <c r="B43" s="10" t="s">
        <v>1180</v>
      </c>
      <c r="C43" s="7" t="s">
        <v>1116</v>
      </c>
      <c r="D43" s="7">
        <v>5</v>
      </c>
      <c r="E43" s="7" t="s">
        <v>1173</v>
      </c>
      <c r="F43" s="7" t="s">
        <v>50</v>
      </c>
      <c r="G43" s="7"/>
      <c r="H43" s="7" t="s">
        <v>1162</v>
      </c>
      <c r="I43" s="7" t="s">
        <v>1163</v>
      </c>
      <c r="J43" s="7" t="str">
        <f>VLOOKUP(E43,V!A:K,7,FALSE)</f>
        <v>PC</v>
      </c>
      <c r="K43" s="7" t="str">
        <f>VLOOKUP(E43,V!A:K,9,FALSE)</f>
        <v>Z</v>
      </c>
      <c r="L43" s="7">
        <f>VLOOKUP(E43,V!A:K,3,FALSE)</f>
        <v>0.4</v>
      </c>
      <c r="M43" s="7">
        <f>VLOOKUP(E43,V!A:K,4,FALSE)</f>
        <v>965</v>
      </c>
      <c r="N43" s="7">
        <f>VLOOKUP(E43,V!A:K,5,FALSE)</f>
        <v>2520</v>
      </c>
      <c r="O43" s="13"/>
      <c r="P43" s="13"/>
    </row>
    <row r="44" spans="1:16">
      <c r="A44" s="7" t="s">
        <v>1157</v>
      </c>
      <c r="B44" s="10" t="s">
        <v>1180</v>
      </c>
      <c r="C44" s="7" t="s">
        <v>1116</v>
      </c>
      <c r="D44" s="7">
        <v>6</v>
      </c>
      <c r="E44" s="7" t="s">
        <v>1182</v>
      </c>
      <c r="F44" s="7" t="s">
        <v>50</v>
      </c>
      <c r="G44" s="7"/>
      <c r="H44" s="7" t="s">
        <v>1162</v>
      </c>
      <c r="I44" s="7" t="s">
        <v>1163</v>
      </c>
      <c r="J44" s="7" t="str">
        <f>VLOOKUP(E44,V!A:K,7,FALSE)</f>
        <v>PC</v>
      </c>
      <c r="K44" s="7" t="str">
        <f>VLOOKUP(E44,V!A:K,9,FALSE)</f>
        <v>Z</v>
      </c>
      <c r="L44" s="7">
        <f>VLOOKUP(E44,V!A:K,3,FALSE)</f>
        <v>0.4</v>
      </c>
      <c r="M44" s="7">
        <f>VLOOKUP(E44,V!A:K,4,FALSE)</f>
        <v>965</v>
      </c>
      <c r="N44" s="7">
        <f>VLOOKUP(E44,V!A:K,5,FALSE)</f>
        <v>2800</v>
      </c>
      <c r="O44" s="13"/>
      <c r="P44" s="13"/>
    </row>
    <row r="45" spans="1:16">
      <c r="A45" s="23" t="s">
        <v>1158</v>
      </c>
      <c r="B45" s="10" t="s">
        <v>1183</v>
      </c>
      <c r="C45" s="7" t="s">
        <v>46</v>
      </c>
      <c r="D45" s="7" t="s">
        <v>32</v>
      </c>
      <c r="E45" s="7" t="s">
        <v>1146</v>
      </c>
      <c r="F45" s="7" t="s">
        <v>50</v>
      </c>
      <c r="G45" s="7"/>
      <c r="H45" s="7" t="s">
        <v>51</v>
      </c>
      <c r="I45" s="7" t="s">
        <v>1137</v>
      </c>
      <c r="J45" s="7" t="str">
        <f>VLOOKUP(E45,'M2'!A:K,7,FALSE)</f>
        <v>PC</v>
      </c>
      <c r="K45" s="7" t="str">
        <f>VLOOKUP(E45,'M2'!A:K,9,FALSE)</f>
        <v>Z</v>
      </c>
      <c r="L45" s="7">
        <f>VLOOKUP(E45,'M2'!A:K,3,FALSE)</f>
        <v>0.4</v>
      </c>
      <c r="M45" s="7" t="str">
        <f>VLOOKUP(E45,'M2'!A:K,4,FALSE)</f>
        <v>NON</v>
      </c>
      <c r="N45" s="7" t="str">
        <f>VLOOKUP(E45,'M2'!A:K,5,FALSE)</f>
        <v>2500+</v>
      </c>
      <c r="O45" s="13">
        <v>60</v>
      </c>
      <c r="P45" s="13">
        <v>40</v>
      </c>
    </row>
    <row r="46" spans="1:16">
      <c r="A46" s="7" t="s">
        <v>1158</v>
      </c>
      <c r="B46" s="10" t="s">
        <v>1183</v>
      </c>
      <c r="C46" s="7" t="s">
        <v>1116</v>
      </c>
      <c r="D46" s="7">
        <v>2</v>
      </c>
      <c r="E46" s="7" t="s">
        <v>1181</v>
      </c>
      <c r="F46" s="7" t="s">
        <v>50</v>
      </c>
      <c r="G46" s="7"/>
      <c r="H46" s="7" t="s">
        <v>1162</v>
      </c>
      <c r="I46" s="7" t="s">
        <v>1163</v>
      </c>
      <c r="J46" s="7" t="str">
        <f>VLOOKUP(E46,V!A:K,7,FALSE)</f>
        <v>PC</v>
      </c>
      <c r="K46" s="7" t="str">
        <f>VLOOKUP(E46,V!A:K,9,FALSE)</f>
        <v>Z</v>
      </c>
      <c r="L46" s="7">
        <f>VLOOKUP(E46,V!A:K,3,FALSE)</f>
        <v>0.4</v>
      </c>
      <c r="M46" s="7">
        <f>VLOOKUP(E46,V!A:K,4,FALSE)</f>
        <v>965</v>
      </c>
      <c r="N46" s="7">
        <f>VLOOKUP(E46,V!A:K,5,FALSE)</f>
        <v>2250</v>
      </c>
    </row>
    <row r="47" spans="1:16">
      <c r="A47" s="7" t="s">
        <v>1158</v>
      </c>
      <c r="B47" s="10" t="s">
        <v>1183</v>
      </c>
      <c r="C47" s="7" t="s">
        <v>1116</v>
      </c>
      <c r="D47" s="7">
        <v>3</v>
      </c>
      <c r="E47" s="7" t="s">
        <v>1176</v>
      </c>
      <c r="F47" s="7" t="s">
        <v>50</v>
      </c>
      <c r="H47" s="7" t="s">
        <v>1162</v>
      </c>
      <c r="I47" s="7" t="s">
        <v>1163</v>
      </c>
      <c r="J47" s="7" t="str">
        <f>VLOOKUP(E47,V!A:K,7,FALSE)</f>
        <v>PC</v>
      </c>
      <c r="K47" s="7" t="str">
        <f>VLOOKUP(E47,V!A:K,9,FALSE)</f>
        <v>Z</v>
      </c>
      <c r="L47" s="7">
        <f>VLOOKUP(E47,V!A:K,3,FALSE)</f>
        <v>0.4</v>
      </c>
      <c r="M47" s="7">
        <f>VLOOKUP(E47,V!A:K,4,FALSE)</f>
        <v>1265</v>
      </c>
      <c r="N47" s="7">
        <f>VLOOKUP(E47,V!A:K,5,FALSE)</f>
        <v>3100</v>
      </c>
    </row>
    <row r="48" spans="1:16">
      <c r="A48" s="7" t="s">
        <v>1158</v>
      </c>
      <c r="B48" s="10" t="s">
        <v>1183</v>
      </c>
      <c r="C48" s="7" t="s">
        <v>1116</v>
      </c>
      <c r="D48" s="7">
        <v>4</v>
      </c>
      <c r="E48" s="7" t="s">
        <v>1171</v>
      </c>
      <c r="F48" s="7" t="s">
        <v>50</v>
      </c>
      <c r="H48" s="7" t="s">
        <v>1162</v>
      </c>
      <c r="I48" s="7" t="s">
        <v>1163</v>
      </c>
      <c r="J48" s="7" t="str">
        <f>VLOOKUP(E48,V!A:K,7,FALSE)</f>
        <v>PC</v>
      </c>
      <c r="K48" s="7" t="str">
        <f>VLOOKUP(E48,V!A:K,9,FALSE)</f>
        <v>Z</v>
      </c>
      <c r="L48" s="7">
        <f>VLOOKUP(E48,V!A:K,3,FALSE)</f>
        <v>0.4</v>
      </c>
      <c r="M48" s="7">
        <f>VLOOKUP(E48,V!A:K,4,FALSE)</f>
        <v>1265</v>
      </c>
      <c r="N48" s="7">
        <f>VLOOKUP(E48,V!A:K,5,FALSE)</f>
        <v>2520</v>
      </c>
    </row>
    <row r="49" spans="1:16">
      <c r="A49" s="7" t="s">
        <v>1158</v>
      </c>
      <c r="B49" s="10" t="s">
        <v>1183</v>
      </c>
      <c r="C49" s="7" t="s">
        <v>1116</v>
      </c>
      <c r="D49" s="7">
        <v>5</v>
      </c>
      <c r="E49" s="7" t="s">
        <v>1173</v>
      </c>
      <c r="F49" s="7" t="s">
        <v>50</v>
      </c>
      <c r="H49" s="7" t="s">
        <v>1162</v>
      </c>
      <c r="I49" s="7" t="s">
        <v>1163</v>
      </c>
      <c r="J49" s="7" t="str">
        <f>VLOOKUP(E49,V!A:K,7,FALSE)</f>
        <v>PC</v>
      </c>
      <c r="K49" s="7" t="str">
        <f>VLOOKUP(E49,V!A:K,9,FALSE)</f>
        <v>Z</v>
      </c>
      <c r="L49" s="7">
        <f>VLOOKUP(E49,V!A:K,3,FALSE)</f>
        <v>0.4</v>
      </c>
      <c r="M49" s="7">
        <f>VLOOKUP(E49,V!A:K,4,FALSE)</f>
        <v>965</v>
      </c>
      <c r="N49" s="7">
        <f>VLOOKUP(E49,V!A:K,5,FALSE)</f>
        <v>2520</v>
      </c>
    </row>
    <row r="50" spans="1:16">
      <c r="A50" s="7" t="s">
        <v>1158</v>
      </c>
      <c r="B50" s="10" t="s">
        <v>1183</v>
      </c>
      <c r="C50" s="7" t="s">
        <v>1116</v>
      </c>
      <c r="D50" s="7">
        <v>6</v>
      </c>
      <c r="E50" s="7" t="s">
        <v>1182</v>
      </c>
      <c r="F50" s="7" t="s">
        <v>50</v>
      </c>
      <c r="H50" s="7" t="s">
        <v>1162</v>
      </c>
      <c r="I50" s="7" t="s">
        <v>1163</v>
      </c>
      <c r="J50" s="7" t="str">
        <f>VLOOKUP(E50,V!A:K,7,FALSE)</f>
        <v>PC</v>
      </c>
      <c r="K50" s="7" t="str">
        <f>VLOOKUP(E50,V!A:K,9,FALSE)</f>
        <v>Z</v>
      </c>
      <c r="L50" s="7">
        <f>VLOOKUP(E50,V!A:K,3,FALSE)</f>
        <v>0.4</v>
      </c>
      <c r="M50" s="7">
        <f>VLOOKUP(E50,V!A:K,4,FALSE)</f>
        <v>965</v>
      </c>
      <c r="N50" s="7">
        <f>VLOOKUP(E50,V!A:K,5,FALSE)</f>
        <v>2800</v>
      </c>
    </row>
    <row r="51" spans="1:16">
      <c r="A51" s="22" t="s">
        <v>1184</v>
      </c>
      <c r="B51" s="10" t="str">
        <f>RIGHT(A51,8)&amp;" "&amp;"Grading"</f>
        <v>XWOFZW01 Grading</v>
      </c>
      <c r="C51" s="7" t="s">
        <v>46</v>
      </c>
      <c r="D51" s="7">
        <v>1</v>
      </c>
      <c r="E51" s="7" t="str">
        <f>RIGHT(A51,8)</f>
        <v>XWOFZW01</v>
      </c>
      <c r="F51" s="7" t="s">
        <v>50</v>
      </c>
      <c r="H51" s="7" t="s">
        <v>1162</v>
      </c>
      <c r="I51" s="7" t="s">
        <v>1163</v>
      </c>
      <c r="J51" s="7" t="str">
        <f>VLOOKUP(E51,V!A:K,7,FALSE)</f>
        <v>RIFT</v>
      </c>
      <c r="K51" s="7" t="str">
        <f>VLOOKUP(E51,V!A:K,9,FALSE)</f>
        <v>Z</v>
      </c>
      <c r="L51" s="7">
        <f>VLOOKUP(E51,V!A:K,3,FALSE)</f>
        <v>0.5</v>
      </c>
      <c r="M51" s="7">
        <f>VLOOKUP(E51,V!A:K,4,FALSE)</f>
        <v>1265</v>
      </c>
      <c r="N51" s="7">
        <f>VLOOKUP(E51,V!A:K,5,FALSE)</f>
        <v>2520</v>
      </c>
      <c r="O51" s="7">
        <v>100</v>
      </c>
      <c r="P51" s="7">
        <v>0</v>
      </c>
    </row>
    <row r="52" spans="1:16">
      <c r="A52" s="7" t="s">
        <v>1184</v>
      </c>
      <c r="B52" s="10" t="str">
        <f t="shared" ref="B52:B61" si="0">RIGHT(A52,8)&amp;" "&amp;"Grading"</f>
        <v>XWOFZW01 Grading</v>
      </c>
      <c r="C52" s="7" t="s">
        <v>1116</v>
      </c>
      <c r="D52" s="7">
        <v>2</v>
      </c>
      <c r="E52" s="7" t="s">
        <v>2279</v>
      </c>
      <c r="F52" s="7" t="s">
        <v>50</v>
      </c>
      <c r="H52" s="7" t="s">
        <v>1162</v>
      </c>
      <c r="I52" s="7" t="str">
        <f>VLOOKUP(E52,V!A:I,8,FALSE)</f>
        <v>A+</v>
      </c>
      <c r="J52" s="7" t="str">
        <f>VLOOKUP(E52,V!A:K,7,FALSE)</f>
        <v>RIFT</v>
      </c>
      <c r="K52" s="7" t="str">
        <f>VLOOKUP(E52,V!A:K,9,FALSE)</f>
        <v>SM</v>
      </c>
      <c r="L52" s="7">
        <f>VLOOKUP(E52,V!A:K,3,FALSE)</f>
        <v>0.5</v>
      </c>
      <c r="M52" s="7">
        <f>VLOOKUP(E52,V!A:K,4,FALSE)</f>
        <v>1265</v>
      </c>
      <c r="N52" s="7">
        <f>VLOOKUP(E52,V!A:K,5,FALSE)</f>
        <v>2520</v>
      </c>
    </row>
    <row r="53" spans="1:16">
      <c r="A53" s="7" t="s">
        <v>1184</v>
      </c>
      <c r="B53" s="10" t="str">
        <f t="shared" si="0"/>
        <v>XWOFZW01 Grading</v>
      </c>
      <c r="C53" s="7" t="s">
        <v>1116</v>
      </c>
      <c r="D53" s="7">
        <v>3</v>
      </c>
      <c r="E53" s="7" t="s">
        <v>554</v>
      </c>
      <c r="F53" s="7" t="s">
        <v>50</v>
      </c>
      <c r="H53" s="7" t="s">
        <v>1162</v>
      </c>
      <c r="I53" s="7" t="str">
        <f>VLOOKUP(E53,V!A:I,8,FALSE)</f>
        <v>A</v>
      </c>
      <c r="J53" s="7" t="str">
        <f>VLOOKUP(E53,V!A:K,7,FALSE)</f>
        <v>RIFT</v>
      </c>
      <c r="K53" s="7" t="str">
        <f>VLOOKUP(E53,V!A:K,9,FALSE)</f>
        <v>SM</v>
      </c>
      <c r="L53" s="7">
        <f>VLOOKUP(E53,V!A:K,3,FALSE)</f>
        <v>0.5</v>
      </c>
      <c r="M53" s="7">
        <f>VLOOKUP(E53,V!A:K,4,FALSE)</f>
        <v>1265</v>
      </c>
      <c r="N53" s="7">
        <f>VLOOKUP(E53,V!A:K,5,FALSE)</f>
        <v>2520</v>
      </c>
    </row>
    <row r="54" spans="1:16">
      <c r="A54" s="7" t="s">
        <v>1184</v>
      </c>
      <c r="B54" s="10" t="str">
        <f t="shared" si="0"/>
        <v>XWOFZW01 Grading</v>
      </c>
      <c r="C54" s="7" t="s">
        <v>1116</v>
      </c>
      <c r="D54" s="7">
        <v>4</v>
      </c>
      <c r="E54" s="7" t="s">
        <v>672</v>
      </c>
      <c r="F54" s="7" t="s">
        <v>50</v>
      </c>
      <c r="H54" s="7" t="s">
        <v>1162</v>
      </c>
      <c r="I54" s="7" t="str">
        <f>VLOOKUP(E54,V!A:I,8,FALSE)</f>
        <v>C</v>
      </c>
      <c r="J54" s="7" t="str">
        <f>VLOOKUP(E54,V!A:K,7,FALSE)</f>
        <v>RIFT</v>
      </c>
      <c r="K54" s="7" t="str">
        <f>VLOOKUP(E54,V!A:K,9,FALSE)</f>
        <v>SM</v>
      </c>
      <c r="L54" s="7">
        <f>VLOOKUP(E54,V!A:K,3,FALSE)</f>
        <v>0.5</v>
      </c>
      <c r="M54" s="7">
        <f>VLOOKUP(E54,V!A:K,4,FALSE)</f>
        <v>1265</v>
      </c>
      <c r="N54" s="7">
        <f>VLOOKUP(E54,V!A:K,5,FALSE)</f>
        <v>2520</v>
      </c>
    </row>
    <row r="55" spans="1:16">
      <c r="A55" s="7" t="s">
        <v>1184</v>
      </c>
      <c r="B55" s="10" t="str">
        <f t="shared" si="0"/>
        <v>XWOFZW01 Grading</v>
      </c>
      <c r="C55" s="7" t="s">
        <v>1116</v>
      </c>
      <c r="D55" s="7">
        <v>5</v>
      </c>
      <c r="E55" s="7" t="s">
        <v>607</v>
      </c>
      <c r="F55" s="7" t="s">
        <v>50</v>
      </c>
      <c r="H55" s="7" t="s">
        <v>1162</v>
      </c>
      <c r="I55" s="7" t="str">
        <f>VLOOKUP(E55,V!A:I,8,FALSE)</f>
        <v>B</v>
      </c>
      <c r="J55" s="7" t="str">
        <f>VLOOKUP(E55,V!A:K,7,FALSE)</f>
        <v>RIFT</v>
      </c>
      <c r="K55" s="7" t="str">
        <f>VLOOKUP(E55,V!A:K,9,FALSE)</f>
        <v>SM</v>
      </c>
      <c r="L55" s="7">
        <f>VLOOKUP(E55,V!A:K,3,FALSE)</f>
        <v>0.5</v>
      </c>
      <c r="M55" s="7">
        <f>VLOOKUP(E55,V!A:K,4,FALSE)</f>
        <v>1265</v>
      </c>
      <c r="N55" s="7">
        <f>VLOOKUP(E55,V!A:K,5,FALSE)</f>
        <v>2520</v>
      </c>
    </row>
    <row r="56" spans="1:16">
      <c r="A56" s="7" t="s">
        <v>1184</v>
      </c>
      <c r="B56" s="10" t="str">
        <f t="shared" si="0"/>
        <v>XWOFZW01 Grading</v>
      </c>
      <c r="C56" s="7" t="s">
        <v>1116</v>
      </c>
      <c r="D56" s="7">
        <v>6</v>
      </c>
      <c r="E56" s="7" t="s">
        <v>2236</v>
      </c>
      <c r="F56" s="7" t="s">
        <v>50</v>
      </c>
      <c r="H56" s="7" t="s">
        <v>1162</v>
      </c>
      <c r="I56" s="7" t="str">
        <f>VLOOKUP(E56,V!A:I,8,FALSE)</f>
        <v>#2</v>
      </c>
      <c r="J56" s="7" t="str">
        <f>VLOOKUP(E56,V!A:K,7,FALSE)</f>
        <v>RIFT</v>
      </c>
      <c r="K56" s="7" t="str">
        <f>VLOOKUP(E56,V!A:K,9,FALSE)</f>
        <v>MPF</v>
      </c>
      <c r="L56" s="7">
        <f>VLOOKUP(E56,V!A:K,3,FALSE)</f>
        <v>0.5</v>
      </c>
      <c r="M56" s="7">
        <f>VLOOKUP(E56,V!A:K,4,FALSE)</f>
        <v>1265</v>
      </c>
      <c r="N56" s="7">
        <f>VLOOKUP(E56,V!A:K,5,FALSE)</f>
        <v>2520</v>
      </c>
    </row>
    <row r="57" spans="1:16">
      <c r="A57" s="7" t="s">
        <v>1184</v>
      </c>
      <c r="B57" s="10" t="str">
        <f t="shared" si="0"/>
        <v>XWOFZW01 Grading</v>
      </c>
      <c r="C57" s="7" t="s">
        <v>1116</v>
      </c>
      <c r="D57" s="7">
        <v>7</v>
      </c>
      <c r="E57" s="7" t="s">
        <v>1465</v>
      </c>
      <c r="F57" s="7" t="s">
        <v>50</v>
      </c>
      <c r="H57" s="7" t="s">
        <v>1162</v>
      </c>
      <c r="I57" s="7" t="str">
        <f>VLOOKUP(E57,V!A:I,8,FALSE)</f>
        <v>#4</v>
      </c>
      <c r="J57" s="7" t="str">
        <f>VLOOKUP(E57,V!A:K,7,FALSE)</f>
        <v>Z</v>
      </c>
      <c r="K57" s="7" t="str">
        <f>VLOOKUP(E57,V!A:K,9,FALSE)</f>
        <v>Z</v>
      </c>
      <c r="L57" s="7">
        <f>VLOOKUP(E57,V!A:K,3,FALSE)</f>
        <v>0.5</v>
      </c>
      <c r="M57" s="7">
        <f>VLOOKUP(E57,V!A:K,4,FALSE)</f>
        <v>1265</v>
      </c>
      <c r="N57" s="7">
        <f>VLOOKUP(E57,V!A:K,5,FALSE)</f>
        <v>2520</v>
      </c>
    </row>
    <row r="58" spans="1:16">
      <c r="A58" s="7" t="s">
        <v>1184</v>
      </c>
      <c r="B58" s="10" t="str">
        <f t="shared" si="0"/>
        <v>XWOFZW01 Grading</v>
      </c>
      <c r="C58" s="7" t="s">
        <v>1116</v>
      </c>
      <c r="D58" s="7">
        <v>8</v>
      </c>
      <c r="E58" s="7" t="s">
        <v>572</v>
      </c>
      <c r="F58" s="7" t="s">
        <v>50</v>
      </c>
      <c r="H58" s="7" t="s">
        <v>1162</v>
      </c>
      <c r="I58" s="7" t="str">
        <f>VLOOKUP(E58,V!A:I,8,FALSE)</f>
        <v>AA</v>
      </c>
      <c r="J58" s="7" t="str">
        <f>VLOOKUP(E58,V!A:K,7,FALSE)</f>
        <v>RIFT</v>
      </c>
      <c r="K58" s="7" t="str">
        <f>VLOOKUP(E58,V!A:K,9,FALSE)</f>
        <v>SM</v>
      </c>
      <c r="L58" s="7">
        <f>VLOOKUP(E58,V!A:K,3,FALSE)</f>
        <v>0.5</v>
      </c>
      <c r="M58" s="7">
        <f>VLOOKUP(E58,V!A:K,4,FALSE)</f>
        <v>1265</v>
      </c>
      <c r="N58" s="7">
        <f>VLOOKUP(E58,V!A:K,5,FALSE)</f>
        <v>2520</v>
      </c>
    </row>
    <row r="59" spans="1:16">
      <c r="A59" s="7" t="s">
        <v>1184</v>
      </c>
      <c r="B59" s="10" t="str">
        <f t="shared" si="0"/>
        <v>XWOFZW01 Grading</v>
      </c>
      <c r="C59" s="7" t="s">
        <v>1116</v>
      </c>
      <c r="D59" s="7">
        <v>9</v>
      </c>
      <c r="E59" s="7" t="s">
        <v>555</v>
      </c>
      <c r="F59" s="7" t="s">
        <v>50</v>
      </c>
      <c r="H59" s="7" t="s">
        <v>1162</v>
      </c>
      <c r="I59" s="7" t="str">
        <f>VLOOKUP(E59,V!A:I,8,FALSE)</f>
        <v>#1</v>
      </c>
      <c r="J59" s="7" t="str">
        <f>VLOOKUP(E59,V!A:K,7,FALSE)</f>
        <v>RIFT</v>
      </c>
      <c r="K59" s="7" t="str">
        <f>VLOOKUP(E59,V!A:K,9,FALSE)</f>
        <v>MPF</v>
      </c>
      <c r="L59" s="7">
        <f>VLOOKUP(E59,V!A:K,3,FALSE)</f>
        <v>0.5</v>
      </c>
      <c r="M59" s="7">
        <f>VLOOKUP(E59,V!A:K,4,FALSE)</f>
        <v>1265</v>
      </c>
      <c r="N59" s="7">
        <f>VLOOKUP(E59,V!A:K,5,FALSE)</f>
        <v>2520</v>
      </c>
    </row>
    <row r="60" spans="1:16">
      <c r="A60" s="7" t="s">
        <v>1184</v>
      </c>
      <c r="B60" s="10" t="str">
        <f t="shared" si="0"/>
        <v>XWOFZW01 Grading</v>
      </c>
      <c r="C60" s="7" t="s">
        <v>1116</v>
      </c>
      <c r="D60" s="7">
        <v>10</v>
      </c>
      <c r="E60" s="7" t="s">
        <v>594</v>
      </c>
      <c r="F60" s="7" t="s">
        <v>50</v>
      </c>
      <c r="H60" s="7" t="s">
        <v>1162</v>
      </c>
      <c r="I60" s="7" t="str">
        <f>VLOOKUP(E60,V!A:I,8,FALSE)</f>
        <v>A</v>
      </c>
      <c r="J60" s="7" t="str">
        <f>VLOOKUP(E60,V!A:K,7,FALSE)</f>
        <v>RIFT</v>
      </c>
      <c r="K60" s="7" t="str">
        <f>VLOOKUP(E60,V!A:K,9,FALSE)</f>
        <v>BM</v>
      </c>
      <c r="L60" s="7">
        <f>VLOOKUP(E60,V!A:K,3,FALSE)</f>
        <v>0.5</v>
      </c>
      <c r="M60" s="7">
        <f>VLOOKUP(E60,V!A:K,4,FALSE)</f>
        <v>1265</v>
      </c>
      <c r="N60" s="7">
        <f>VLOOKUP(E60,V!A:K,5,FALSE)</f>
        <v>2520</v>
      </c>
    </row>
    <row r="61" spans="1:16">
      <c r="A61" s="7" t="s">
        <v>1184</v>
      </c>
      <c r="B61" s="10" t="str">
        <f t="shared" si="0"/>
        <v>XWOFZW01 Grading</v>
      </c>
      <c r="C61" s="7" t="s">
        <v>1116</v>
      </c>
      <c r="D61" s="7">
        <v>11</v>
      </c>
      <c r="E61" s="7" t="s">
        <v>610</v>
      </c>
      <c r="F61" s="7" t="s">
        <v>50</v>
      </c>
      <c r="H61" s="7" t="s">
        <v>1162</v>
      </c>
      <c r="I61" s="7" t="str">
        <f>VLOOKUP(E61,V!A:I,8,FALSE)</f>
        <v>B</v>
      </c>
      <c r="J61" s="7" t="str">
        <f>VLOOKUP(E61,V!A:K,7,FALSE)</f>
        <v>RIFT</v>
      </c>
      <c r="K61" s="7" t="str">
        <f>VLOOKUP(E61,V!A:K,9,FALSE)</f>
        <v>BM</v>
      </c>
      <c r="L61" s="7">
        <f>VLOOKUP(E61,V!A:K,3,FALSE)</f>
        <v>0.5</v>
      </c>
      <c r="M61" s="7">
        <f>VLOOKUP(E61,V!A:K,4,FALSE)</f>
        <v>1265</v>
      </c>
      <c r="N61" s="7">
        <f>VLOOKUP(E61,V!A:K,5,FALSE)</f>
        <v>2520</v>
      </c>
    </row>
    <row r="62" spans="1:16">
      <c r="A62" s="22" t="s">
        <v>1185</v>
      </c>
      <c r="B62" s="10" t="str">
        <f>RIGHT(A62,8)&amp;" "&amp;"Grading"</f>
        <v>XWOFZW02 Grading</v>
      </c>
      <c r="C62" s="7" t="s">
        <v>46</v>
      </c>
      <c r="D62" s="7">
        <v>1</v>
      </c>
      <c r="E62" s="7" t="str">
        <f t="shared" ref="E62:E112" si="1">RIGHT(A62,8)</f>
        <v>XWOFZW02</v>
      </c>
      <c r="F62" s="7" t="s">
        <v>50</v>
      </c>
      <c r="H62" s="7" t="s">
        <v>1162</v>
      </c>
      <c r="I62" s="7" t="s">
        <v>1163</v>
      </c>
      <c r="J62" s="7" t="str">
        <f>VLOOKUP(E62,V!A:K,7,FALSE)</f>
        <v>RIFT</v>
      </c>
      <c r="K62" s="7" t="str">
        <f>VLOOKUP(E62,V!A:K,9,FALSE)</f>
        <v>Z</v>
      </c>
      <c r="L62" s="7">
        <f>VLOOKUP(E62,V!A:K,3,FALSE)</f>
        <v>0.5</v>
      </c>
      <c r="M62" s="7">
        <f>VLOOKUP(E62,V!A:K,4,FALSE)</f>
        <v>1265</v>
      </c>
      <c r="N62" s="7">
        <f>VLOOKUP(E62,V!A:K,5,FALSE)</f>
        <v>3100</v>
      </c>
      <c r="O62" s="7">
        <v>100</v>
      </c>
      <c r="P62" s="7">
        <v>0</v>
      </c>
    </row>
    <row r="63" spans="1:16">
      <c r="A63" s="7" t="s">
        <v>1185</v>
      </c>
      <c r="B63" s="10" t="str">
        <f>RIGHT(A63,8)&amp;" "&amp;"Grading"</f>
        <v>XWOFZW02 Grading</v>
      </c>
      <c r="C63" s="7" t="s">
        <v>1116</v>
      </c>
      <c r="D63" s="7">
        <v>2</v>
      </c>
      <c r="E63" s="7" t="s">
        <v>2284</v>
      </c>
      <c r="F63" s="7" t="s">
        <v>50</v>
      </c>
      <c r="H63" s="7" t="s">
        <v>1162</v>
      </c>
      <c r="I63" s="7" t="s">
        <v>1163</v>
      </c>
      <c r="J63" s="7" t="str">
        <f>VLOOKUP(E63,V!A:K,7,FALSE)</f>
        <v>RIFT</v>
      </c>
      <c r="K63" s="7" t="str">
        <f>VLOOKUP(E63,V!A:K,9,FALSE)</f>
        <v>SM</v>
      </c>
      <c r="L63" s="7">
        <f>VLOOKUP(E63,V!A:K,3,FALSE)</f>
        <v>0.5</v>
      </c>
      <c r="M63" s="7">
        <f>VLOOKUP(E63,V!A:K,4,FALSE)</f>
        <v>1265</v>
      </c>
      <c r="N63" s="7">
        <f>VLOOKUP(E63,V!A:K,5,FALSE)</f>
        <v>3100</v>
      </c>
    </row>
    <row r="64" spans="1:16">
      <c r="A64" s="7" t="s">
        <v>1185</v>
      </c>
      <c r="B64" s="10" t="str">
        <f t="shared" ref="B64:B72" si="2">RIGHT(A64,8)&amp;" "&amp;"Grading"</f>
        <v>XWOFZW02 Grading</v>
      </c>
      <c r="C64" s="7" t="s">
        <v>1116</v>
      </c>
      <c r="D64" s="7">
        <v>3</v>
      </c>
      <c r="E64" s="7" t="s">
        <v>558</v>
      </c>
      <c r="F64" s="7" t="s">
        <v>50</v>
      </c>
      <c r="H64" s="7" t="s">
        <v>1162</v>
      </c>
      <c r="I64" s="7" t="s">
        <v>1163</v>
      </c>
      <c r="J64" s="7" t="str">
        <f>VLOOKUP(E64,V!A:K,7,FALSE)</f>
        <v>RIFT</v>
      </c>
      <c r="K64" s="7" t="str">
        <f>VLOOKUP(E64,V!A:K,9,FALSE)</f>
        <v>SM</v>
      </c>
      <c r="L64" s="7">
        <f>VLOOKUP(E64,V!A:K,3,FALSE)</f>
        <v>0.5</v>
      </c>
      <c r="M64" s="7">
        <f>VLOOKUP(E64,V!A:K,4,FALSE)</f>
        <v>1265</v>
      </c>
      <c r="N64" s="7">
        <f>VLOOKUP(E64,V!A:K,5,FALSE)</f>
        <v>3100</v>
      </c>
    </row>
    <row r="65" spans="1:16">
      <c r="A65" s="7" t="s">
        <v>1185</v>
      </c>
      <c r="B65" s="10" t="str">
        <f t="shared" si="2"/>
        <v>XWOFZW02 Grading</v>
      </c>
      <c r="C65" s="7" t="s">
        <v>1116</v>
      </c>
      <c r="D65" s="7">
        <v>4</v>
      </c>
      <c r="E65" s="7" t="s">
        <v>2225</v>
      </c>
      <c r="F65" s="7" t="s">
        <v>50</v>
      </c>
      <c r="H65" s="7" t="s">
        <v>1162</v>
      </c>
      <c r="I65" s="7" t="s">
        <v>1163</v>
      </c>
      <c r="J65" s="7" t="str">
        <f>VLOOKUP(E65,V!A:K,7,FALSE)</f>
        <v>RIFT</v>
      </c>
      <c r="K65" s="7" t="str">
        <f>VLOOKUP(E65,V!A:K,9,FALSE)</f>
        <v>MPF</v>
      </c>
      <c r="L65" s="7">
        <f>VLOOKUP(E65,V!A:K,3,FALSE)</f>
        <v>0.5</v>
      </c>
      <c r="M65" s="7">
        <f>VLOOKUP(E65,V!A:K,4,FALSE)</f>
        <v>1265</v>
      </c>
      <c r="N65" s="7">
        <f>VLOOKUP(E65,V!A:K,5,FALSE)</f>
        <v>3300</v>
      </c>
    </row>
    <row r="66" spans="1:16">
      <c r="A66" s="7" t="s">
        <v>1185</v>
      </c>
      <c r="B66" s="10" t="str">
        <f t="shared" si="2"/>
        <v>XWOFZW02 Grading</v>
      </c>
      <c r="C66" s="7" t="s">
        <v>1116</v>
      </c>
      <c r="D66" s="7">
        <v>5</v>
      </c>
      <c r="E66" s="7" t="s">
        <v>2236</v>
      </c>
      <c r="F66" s="7" t="s">
        <v>50</v>
      </c>
      <c r="H66" s="7" t="s">
        <v>1162</v>
      </c>
      <c r="I66" s="7" t="s">
        <v>1163</v>
      </c>
      <c r="J66" s="7" t="str">
        <f>VLOOKUP(E66,V!A:K,7,FALSE)</f>
        <v>RIFT</v>
      </c>
      <c r="K66" s="7" t="str">
        <f>VLOOKUP(E66,V!A:K,9,FALSE)</f>
        <v>MPF</v>
      </c>
      <c r="L66" s="7">
        <f>VLOOKUP(E66,V!A:K,3,FALSE)</f>
        <v>0.5</v>
      </c>
      <c r="M66" s="7">
        <f>VLOOKUP(E66,V!A:K,4,FALSE)</f>
        <v>1265</v>
      </c>
      <c r="N66" s="7">
        <f>VLOOKUP(E66,V!A:K,5,FALSE)</f>
        <v>2520</v>
      </c>
    </row>
    <row r="67" spans="1:16">
      <c r="A67" s="7" t="s">
        <v>1185</v>
      </c>
      <c r="B67" s="10" t="str">
        <f t="shared" si="2"/>
        <v>XWOFZW02 Grading</v>
      </c>
      <c r="C67" s="7" t="s">
        <v>1116</v>
      </c>
      <c r="D67" s="7">
        <v>6</v>
      </c>
      <c r="E67" s="7" t="s">
        <v>2296</v>
      </c>
      <c r="F67" s="7" t="s">
        <v>50</v>
      </c>
      <c r="H67" s="7" t="s">
        <v>1162</v>
      </c>
      <c r="I67" s="7" t="s">
        <v>1163</v>
      </c>
      <c r="J67" s="7" t="str">
        <f>VLOOKUP(E67,V!A:K,7,FALSE)</f>
        <v>RIFT</v>
      </c>
      <c r="K67" s="7" t="str">
        <f>VLOOKUP(E67,V!A:K,9,FALSE)</f>
        <v>SM</v>
      </c>
      <c r="L67" s="7">
        <f>VLOOKUP(E67,V!A:K,3,FALSE)</f>
        <v>0.5</v>
      </c>
      <c r="M67" s="7">
        <f>VLOOKUP(E67,V!A:K,4,FALSE)</f>
        <v>1265</v>
      </c>
      <c r="N67" s="7">
        <f>VLOOKUP(E67,V!A:K,5,FALSE)</f>
        <v>3100</v>
      </c>
    </row>
    <row r="68" spans="1:16">
      <c r="A68" s="7" t="s">
        <v>1185</v>
      </c>
      <c r="B68" s="10" t="str">
        <f t="shared" si="2"/>
        <v>XWOFZW02 Grading</v>
      </c>
      <c r="C68" s="7" t="s">
        <v>1116</v>
      </c>
      <c r="D68" s="7">
        <v>7</v>
      </c>
      <c r="E68" s="7" t="s">
        <v>1159</v>
      </c>
      <c r="F68" s="7" t="s">
        <v>50</v>
      </c>
      <c r="H68" s="7" t="s">
        <v>1162</v>
      </c>
      <c r="I68" s="7" t="s">
        <v>1163</v>
      </c>
      <c r="J68" s="7" t="str">
        <f>VLOOKUP(E68,V!A:K,7,FALSE)</f>
        <v>RIFT</v>
      </c>
      <c r="K68" s="7" t="str">
        <f>VLOOKUP(E68,V!A:K,9,FALSE)</f>
        <v>Z</v>
      </c>
      <c r="L68" s="7">
        <f>VLOOKUP(E68,V!A:K,3,FALSE)</f>
        <v>0.5</v>
      </c>
      <c r="M68" s="7">
        <f>VLOOKUP(E68,V!A:K,4,FALSE)</f>
        <v>1265</v>
      </c>
      <c r="N68" s="7">
        <f>VLOOKUP(E68,V!A:K,5,FALSE)</f>
        <v>2520</v>
      </c>
    </row>
    <row r="69" spans="1:16">
      <c r="A69" s="7" t="s">
        <v>1185</v>
      </c>
      <c r="B69" s="10" t="str">
        <f t="shared" si="2"/>
        <v>XWOFZW02 Grading</v>
      </c>
      <c r="C69" s="7" t="s">
        <v>1116</v>
      </c>
      <c r="D69" s="7">
        <v>8</v>
      </c>
      <c r="E69" s="7" t="s">
        <v>554</v>
      </c>
      <c r="F69" s="7" t="s">
        <v>50</v>
      </c>
      <c r="H69" s="7" t="s">
        <v>1162</v>
      </c>
      <c r="I69" s="7" t="s">
        <v>1163</v>
      </c>
      <c r="J69" s="7" t="str">
        <f>VLOOKUP(E69,V!A:K,7,FALSE)</f>
        <v>RIFT</v>
      </c>
      <c r="K69" s="7" t="str">
        <f>VLOOKUP(E69,V!A:K,9,FALSE)</f>
        <v>SM</v>
      </c>
      <c r="L69" s="7">
        <f>VLOOKUP(E69,V!A:K,3,FALSE)</f>
        <v>0.5</v>
      </c>
      <c r="M69" s="7">
        <f>VLOOKUP(E69,V!A:K,4,FALSE)</f>
        <v>1265</v>
      </c>
      <c r="N69" s="7">
        <f>VLOOKUP(E69,V!A:K,5,FALSE)</f>
        <v>2520</v>
      </c>
    </row>
    <row r="70" spans="1:16">
      <c r="A70" s="7" t="s">
        <v>1185</v>
      </c>
      <c r="B70" s="10" t="str">
        <f t="shared" si="2"/>
        <v>XWOFZW02 Grading</v>
      </c>
      <c r="C70" s="7" t="s">
        <v>1116</v>
      </c>
      <c r="D70" s="7">
        <v>9</v>
      </c>
      <c r="E70" s="7" t="s">
        <v>607</v>
      </c>
      <c r="F70" s="7" t="s">
        <v>50</v>
      </c>
      <c r="H70" s="7" t="s">
        <v>1162</v>
      </c>
      <c r="I70" s="7" t="s">
        <v>1163</v>
      </c>
      <c r="J70" s="7" t="str">
        <f>VLOOKUP(E70,V!A:K,7,FALSE)</f>
        <v>RIFT</v>
      </c>
      <c r="K70" s="7" t="str">
        <f>VLOOKUP(E70,V!A:K,9,FALSE)</f>
        <v>SM</v>
      </c>
      <c r="L70" s="7">
        <f>VLOOKUP(E70,V!A:K,3,FALSE)</f>
        <v>0.5</v>
      </c>
      <c r="M70" s="7">
        <f>VLOOKUP(E70,V!A:K,4,FALSE)</f>
        <v>1265</v>
      </c>
      <c r="N70" s="7">
        <f>VLOOKUP(E70,V!A:K,5,FALSE)</f>
        <v>2520</v>
      </c>
    </row>
    <row r="71" spans="1:16">
      <c r="A71" s="7" t="s">
        <v>1185</v>
      </c>
      <c r="B71" s="10" t="str">
        <f t="shared" si="2"/>
        <v>XWOFZW02 Grading</v>
      </c>
      <c r="C71" s="7" t="s">
        <v>1116</v>
      </c>
      <c r="D71" s="7">
        <v>10</v>
      </c>
      <c r="E71" s="7" t="s">
        <v>672</v>
      </c>
      <c r="F71" s="7" t="s">
        <v>50</v>
      </c>
      <c r="H71" s="7" t="s">
        <v>1162</v>
      </c>
      <c r="I71" s="7" t="s">
        <v>1163</v>
      </c>
      <c r="J71" s="7" t="str">
        <f>VLOOKUP(E71,V!A:K,7,FALSE)</f>
        <v>RIFT</v>
      </c>
      <c r="K71" s="7" t="str">
        <f>VLOOKUP(E71,V!A:K,9,FALSE)</f>
        <v>SM</v>
      </c>
      <c r="L71" s="7">
        <f>VLOOKUP(E71,V!A:K,3,FALSE)</f>
        <v>0.5</v>
      </c>
      <c r="M71" s="7">
        <f>VLOOKUP(E71,V!A:K,4,FALSE)</f>
        <v>1265</v>
      </c>
      <c r="N71" s="7">
        <f>VLOOKUP(E71,V!A:K,5,FALSE)</f>
        <v>2520</v>
      </c>
    </row>
    <row r="72" spans="1:16">
      <c r="A72" s="7" t="s">
        <v>1185</v>
      </c>
      <c r="B72" s="10" t="str">
        <f t="shared" si="2"/>
        <v>XWOFZW02 Grading</v>
      </c>
      <c r="C72" s="7" t="s">
        <v>1116</v>
      </c>
      <c r="D72" s="7">
        <v>11</v>
      </c>
      <c r="E72" s="7" t="s">
        <v>1465</v>
      </c>
      <c r="F72" s="7" t="s">
        <v>50</v>
      </c>
      <c r="H72" s="7" t="s">
        <v>1162</v>
      </c>
      <c r="I72" s="7" t="s">
        <v>1163</v>
      </c>
      <c r="J72" s="7" t="str">
        <f>VLOOKUP(E72,V!A:K,7,FALSE)</f>
        <v>Z</v>
      </c>
      <c r="K72" s="7" t="str">
        <f>VLOOKUP(E72,V!A:K,9,FALSE)</f>
        <v>Z</v>
      </c>
      <c r="L72" s="7">
        <f>VLOOKUP(E72,V!A:K,3,FALSE)</f>
        <v>0.5</v>
      </c>
      <c r="M72" s="7">
        <f>VLOOKUP(E72,V!A:K,4,FALSE)</f>
        <v>1265</v>
      </c>
      <c r="N72" s="7">
        <f>VLOOKUP(E72,V!A:K,5,FALSE)</f>
        <v>2520</v>
      </c>
    </row>
    <row r="73" spans="1:16">
      <c r="A73" s="22" t="s">
        <v>1186</v>
      </c>
      <c r="B73" s="10" t="str">
        <f t="shared" ref="B73:B118" si="3">RIGHT(A73,8)&amp;" "&amp;"Grading"</f>
        <v>XWOFZW06 Grading</v>
      </c>
      <c r="C73" s="7" t="s">
        <v>46</v>
      </c>
      <c r="D73" s="7">
        <v>1</v>
      </c>
      <c r="E73" s="7" t="str">
        <f t="shared" si="1"/>
        <v>XWOFZW06</v>
      </c>
      <c r="F73" s="7" t="s">
        <v>50</v>
      </c>
      <c r="H73" s="7" t="s">
        <v>1162</v>
      </c>
      <c r="I73" s="7" t="s">
        <v>1163</v>
      </c>
      <c r="J73" s="7" t="str">
        <f>VLOOKUP(E72,V!A:K,7,FALSE)</f>
        <v>Z</v>
      </c>
      <c r="K73" s="7" t="str">
        <f>VLOOKUP(E72,V!A:K,9,FALSE)</f>
        <v>Z</v>
      </c>
      <c r="L73" s="7">
        <f>VLOOKUP(E72,V!A:K,3,FALSE)</f>
        <v>0.5</v>
      </c>
      <c r="M73" s="7">
        <f>VLOOKUP(E72,V!A:K,4,FALSE)</f>
        <v>1265</v>
      </c>
      <c r="N73" s="7">
        <f>VLOOKUP(E72,V!A:K,5,FALSE)</f>
        <v>2520</v>
      </c>
      <c r="O73" s="7">
        <v>100</v>
      </c>
      <c r="P73" s="7">
        <v>0</v>
      </c>
    </row>
    <row r="74" spans="1:16">
      <c r="A74" s="7" t="s">
        <v>1186</v>
      </c>
      <c r="B74" s="10" t="str">
        <f t="shared" si="3"/>
        <v>XWOFZW06 Grading</v>
      </c>
      <c r="C74" s="7" t="s">
        <v>1116</v>
      </c>
      <c r="D74" s="7">
        <v>2</v>
      </c>
      <c r="E74" s="7" t="s">
        <v>1069</v>
      </c>
      <c r="F74" s="7" t="s">
        <v>50</v>
      </c>
      <c r="H74" s="7" t="s">
        <v>1162</v>
      </c>
      <c r="I74" s="7" t="s">
        <v>1163</v>
      </c>
      <c r="J74" s="7" t="str">
        <f>VLOOKUP(E73,V!A:K,7,FALSE)</f>
        <v>RIFT</v>
      </c>
      <c r="K74" s="7" t="str">
        <f>VLOOKUP(E73,V!A:K,9,FALSE)</f>
        <v>Z</v>
      </c>
      <c r="L74" s="7">
        <f>VLOOKUP(E73,V!A:K,3,FALSE)</f>
        <v>0.5</v>
      </c>
      <c r="M74" s="7">
        <f>VLOOKUP(E73,V!A:K,4,FALSE)</f>
        <v>965</v>
      </c>
      <c r="N74" s="7">
        <f>VLOOKUP(E73,V!A:K,5,FALSE)</f>
        <v>2250</v>
      </c>
    </row>
    <row r="75" spans="1:16">
      <c r="A75" s="22" t="s">
        <v>1187</v>
      </c>
      <c r="B75" s="10" t="str">
        <f>RIGHT(A75,8)&amp;" "&amp;"Grading"</f>
        <v>XWOPZW02 Grading</v>
      </c>
      <c r="C75" s="7" t="s">
        <v>46</v>
      </c>
      <c r="D75" s="7">
        <v>1</v>
      </c>
      <c r="E75" s="7" t="str">
        <f t="shared" si="1"/>
        <v>XWOPZW02</v>
      </c>
      <c r="F75" s="7" t="s">
        <v>50</v>
      </c>
      <c r="H75" s="7" t="s">
        <v>1162</v>
      </c>
      <c r="I75" s="7" t="s">
        <v>1163</v>
      </c>
      <c r="J75" s="7" t="str">
        <f>VLOOKUP(E75,V!A:K,7,FALSE)</f>
        <v>PC</v>
      </c>
      <c r="K75" s="7" t="str">
        <f>VLOOKUP(E75,V!A:K,9,FALSE)</f>
        <v>Z</v>
      </c>
      <c r="L75" s="7">
        <f>VLOOKUP(E75,V!A:K,3,FALSE)</f>
        <v>0.5</v>
      </c>
      <c r="M75" s="7">
        <f>VLOOKUP(E75,V!A:K,4,FALSE)</f>
        <v>1265</v>
      </c>
      <c r="N75" s="7">
        <f>VLOOKUP(E75,V!A:K,5,FALSE)</f>
        <v>3100</v>
      </c>
      <c r="O75" s="7">
        <v>100</v>
      </c>
      <c r="P75" s="7">
        <v>0</v>
      </c>
    </row>
    <row r="76" spans="1:16">
      <c r="A76" s="7" t="s">
        <v>1187</v>
      </c>
      <c r="B76" s="10" t="str">
        <f>RIGHT(A76,8)&amp;" "&amp;"Grading"</f>
        <v>XWOPZW02 Grading</v>
      </c>
      <c r="C76" s="7" t="s">
        <v>1116</v>
      </c>
      <c r="D76" s="7">
        <v>2</v>
      </c>
      <c r="E76" s="7" t="s">
        <v>2200</v>
      </c>
      <c r="F76" s="7" t="s">
        <v>50</v>
      </c>
      <c r="H76" s="7" t="s">
        <v>1162</v>
      </c>
      <c r="I76" s="7" t="s">
        <v>1163</v>
      </c>
      <c r="J76" s="7" t="str">
        <f>VLOOKUP(E76,V!A:K,7,FALSE)</f>
        <v>PC</v>
      </c>
      <c r="K76" s="7" t="str">
        <f>VLOOKUP(E76,V!A:K,9,FALSE)</f>
        <v>PM</v>
      </c>
      <c r="L76" s="7">
        <f>VLOOKUP(E76,V!A:K,3,FALSE)</f>
        <v>0.5</v>
      </c>
      <c r="M76" s="7">
        <f>VLOOKUP(E76,V!A:K,4,FALSE)</f>
        <v>1265</v>
      </c>
      <c r="N76" s="7">
        <f>VLOOKUP(E76,V!A:K,5,FALSE)</f>
        <v>3300</v>
      </c>
    </row>
    <row r="77" spans="1:16">
      <c r="A77" s="22" t="s">
        <v>1188</v>
      </c>
      <c r="B77" s="10" t="str">
        <f t="shared" si="3"/>
        <v>XWOFZW05 Grading</v>
      </c>
      <c r="C77" s="7" t="s">
        <v>46</v>
      </c>
      <c r="D77" s="7">
        <v>1</v>
      </c>
      <c r="E77" s="7" t="str">
        <f t="shared" si="1"/>
        <v>XWOFZW05</v>
      </c>
      <c r="F77" s="7" t="s">
        <v>50</v>
      </c>
      <c r="H77" s="7" t="s">
        <v>1162</v>
      </c>
      <c r="I77" s="7" t="s">
        <v>1163</v>
      </c>
      <c r="J77" s="7" t="str">
        <f>VLOOKUP(E77,V!A:K,7,FALSE)</f>
        <v>RIFT</v>
      </c>
      <c r="K77" s="7" t="str">
        <f>VLOOKUP(E77,V!A:K,9,FALSE)</f>
        <v>Z</v>
      </c>
      <c r="L77" s="7">
        <f>VLOOKUP(E77,V!A:K,3,FALSE)</f>
        <v>0.4</v>
      </c>
      <c r="M77" s="7">
        <f>VLOOKUP(E77,V!A:K,4,FALSE)</f>
        <v>965</v>
      </c>
      <c r="N77" s="7">
        <f>VLOOKUP(E77,V!A:K,5,FALSE)</f>
        <v>2250</v>
      </c>
      <c r="O77" s="7">
        <v>100</v>
      </c>
      <c r="P77" s="7">
        <v>0</v>
      </c>
    </row>
    <row r="78" spans="1:16">
      <c r="A78" s="7" t="s">
        <v>1188</v>
      </c>
      <c r="B78" s="10" t="str">
        <f t="shared" si="3"/>
        <v>XWOFZW05 Grading</v>
      </c>
      <c r="C78" s="7" t="s">
        <v>1116</v>
      </c>
      <c r="D78" s="7">
        <v>2</v>
      </c>
      <c r="E78" s="7" t="s">
        <v>2096</v>
      </c>
      <c r="F78" s="7" t="s">
        <v>50</v>
      </c>
      <c r="H78" s="7" t="s">
        <v>1162</v>
      </c>
      <c r="I78" s="7" t="s">
        <v>1163</v>
      </c>
      <c r="J78" s="7" t="str">
        <f>VLOOKUP(E78,V!A:K,7,FALSE)</f>
        <v>RIFT</v>
      </c>
      <c r="K78" s="7" t="str">
        <f>VLOOKUP(E78,V!A:K,9,FALSE)</f>
        <v>BM</v>
      </c>
      <c r="L78" s="7">
        <f>VLOOKUP(E78,V!A:K,3,FALSE)</f>
        <v>0.4</v>
      </c>
      <c r="M78" s="7">
        <f>VLOOKUP(E78,V!A:K,4,FALSE)</f>
        <v>965</v>
      </c>
      <c r="N78" s="7">
        <f>VLOOKUP(E78,V!A:K,5,FALSE)</f>
        <v>2250</v>
      </c>
    </row>
    <row r="79" spans="1:16">
      <c r="A79" s="22" t="s">
        <v>1189</v>
      </c>
      <c r="B79" s="10" t="str">
        <f t="shared" si="3"/>
        <v>XWOFZW03 Grading</v>
      </c>
      <c r="C79" s="7" t="s">
        <v>46</v>
      </c>
      <c r="D79" s="7">
        <v>1</v>
      </c>
      <c r="E79" s="7" t="str">
        <f t="shared" si="1"/>
        <v>XWOFZW03</v>
      </c>
      <c r="F79" s="7" t="s">
        <v>50</v>
      </c>
      <c r="H79" s="7" t="s">
        <v>1162</v>
      </c>
      <c r="I79" s="7" t="s">
        <v>1163</v>
      </c>
      <c r="J79" s="7" t="str">
        <f>VLOOKUP(E79,V!A:K,7,FALSE)</f>
        <v>RIFT</v>
      </c>
      <c r="K79" s="7" t="str">
        <f>VLOOKUP(E79,V!A:K,9,FALSE)</f>
        <v>Z</v>
      </c>
      <c r="L79" s="7">
        <f>VLOOKUP(E79,V!A:K,3,FALSE)</f>
        <v>0.4</v>
      </c>
      <c r="M79" s="7">
        <f>VLOOKUP(E79,V!A:K,4,FALSE)</f>
        <v>1265</v>
      </c>
      <c r="N79" s="7">
        <f>VLOOKUP(E79,V!A:K,5,FALSE)</f>
        <v>2520</v>
      </c>
      <c r="O79" s="7">
        <v>100</v>
      </c>
      <c r="P79" s="7">
        <v>0</v>
      </c>
    </row>
    <row r="80" spans="1:16">
      <c r="A80" s="7" t="s">
        <v>1189</v>
      </c>
      <c r="B80" s="10" t="str">
        <f t="shared" si="3"/>
        <v>XWOFZW03 Grading</v>
      </c>
      <c r="C80" s="7" t="s">
        <v>1116</v>
      </c>
      <c r="D80" s="7">
        <v>3</v>
      </c>
      <c r="E80" s="7" t="s">
        <v>602</v>
      </c>
      <c r="F80" s="7" t="s">
        <v>50</v>
      </c>
      <c r="H80" s="7" t="s">
        <v>1162</v>
      </c>
      <c r="I80" s="7" t="s">
        <v>1163</v>
      </c>
      <c r="J80" s="7" t="str">
        <f>VLOOKUP(E80,V!A:K,7,FALSE)</f>
        <v>RIFT</v>
      </c>
      <c r="K80" s="7" t="str">
        <f>VLOOKUP(E80,V!A:K,9,FALSE)</f>
        <v>PM</v>
      </c>
      <c r="L80" s="7">
        <f>VLOOKUP(E80,V!A:K,3,FALSE)</f>
        <v>0.5</v>
      </c>
      <c r="M80" s="7">
        <f>VLOOKUP(E80,V!A:K,4,FALSE)</f>
        <v>1265</v>
      </c>
      <c r="N80" s="7">
        <f>VLOOKUP(E80,V!A:K,5,FALSE)</f>
        <v>2520</v>
      </c>
    </row>
    <row r="81" spans="1:16">
      <c r="A81" s="7" t="s">
        <v>1189</v>
      </c>
      <c r="B81" s="10" t="str">
        <f t="shared" si="3"/>
        <v>XWOFZW03 Grading</v>
      </c>
      <c r="C81" s="7" t="s">
        <v>1116</v>
      </c>
      <c r="D81" s="7">
        <v>3</v>
      </c>
      <c r="E81" s="7" t="s">
        <v>2288</v>
      </c>
      <c r="F81" s="7" t="s">
        <v>50</v>
      </c>
      <c r="H81" s="7" t="s">
        <v>1162</v>
      </c>
      <c r="I81" s="7" t="s">
        <v>1163</v>
      </c>
      <c r="J81" s="7" t="str">
        <f>VLOOKUP(E81,V!A:K,7,FALSE)</f>
        <v>RIFT</v>
      </c>
      <c r="K81" s="7" t="str">
        <f>VLOOKUP(E81,V!A:K,9,FALSE)</f>
        <v>PM</v>
      </c>
      <c r="L81" s="7">
        <f>VLOOKUP(E81,V!A:K,3,FALSE)</f>
        <v>0.5</v>
      </c>
      <c r="M81" s="7">
        <f>VLOOKUP(E81,V!A:K,4,FALSE)</f>
        <v>1265</v>
      </c>
      <c r="N81" s="7">
        <f>VLOOKUP(E81,V!A:K,5,FALSE)</f>
        <v>2520</v>
      </c>
    </row>
    <row r="82" spans="1:16">
      <c r="A82" s="7" t="s">
        <v>1189</v>
      </c>
      <c r="B82" s="10" t="str">
        <f t="shared" si="3"/>
        <v>XWOFZW03 Grading</v>
      </c>
      <c r="C82" s="7" t="s">
        <v>1116</v>
      </c>
      <c r="D82" s="7">
        <v>3</v>
      </c>
      <c r="E82" s="7" t="s">
        <v>1159</v>
      </c>
      <c r="F82" s="7" t="s">
        <v>50</v>
      </c>
      <c r="H82" s="7" t="s">
        <v>1162</v>
      </c>
      <c r="I82" s="7" t="s">
        <v>1163</v>
      </c>
      <c r="J82" s="7" t="str">
        <f>VLOOKUP(E82,V!A:K,7,FALSE)</f>
        <v>RIFT</v>
      </c>
      <c r="K82" s="7" t="str">
        <f>VLOOKUP(E82,V!A:K,9,FALSE)</f>
        <v>Z</v>
      </c>
      <c r="L82" s="7">
        <f>VLOOKUP(E82,V!A:K,3,FALSE)</f>
        <v>0.5</v>
      </c>
      <c r="M82" s="7">
        <f>VLOOKUP(E82,V!A:K,4,FALSE)</f>
        <v>1265</v>
      </c>
      <c r="N82" s="7">
        <f>VLOOKUP(E82,V!A:K,5,FALSE)</f>
        <v>2520</v>
      </c>
    </row>
    <row r="83" spans="1:16">
      <c r="A83" s="7" t="s">
        <v>1189</v>
      </c>
      <c r="B83" s="10" t="str">
        <f t="shared" si="3"/>
        <v>XWOFZW03 Grading</v>
      </c>
      <c r="C83" s="7" t="s">
        <v>1116</v>
      </c>
      <c r="D83" s="7">
        <v>3</v>
      </c>
      <c r="E83" s="7" t="s">
        <v>672</v>
      </c>
      <c r="F83" s="7" t="s">
        <v>50</v>
      </c>
      <c r="H83" s="7" t="s">
        <v>1162</v>
      </c>
      <c r="I83" s="7" t="s">
        <v>1163</v>
      </c>
      <c r="J83" s="7" t="str">
        <f>VLOOKUP(E83,V!A:K,7,FALSE)</f>
        <v>RIFT</v>
      </c>
      <c r="K83" s="7" t="str">
        <f>VLOOKUP(E83,V!A:K,9,FALSE)</f>
        <v>SM</v>
      </c>
      <c r="L83" s="7">
        <f>VLOOKUP(E83,V!A:K,3,FALSE)</f>
        <v>0.5</v>
      </c>
      <c r="M83" s="7">
        <f>VLOOKUP(E83,V!A:K,4,FALSE)</f>
        <v>1265</v>
      </c>
      <c r="N83" s="7">
        <f>VLOOKUP(E83,V!A:K,5,FALSE)</f>
        <v>2520</v>
      </c>
    </row>
    <row r="84" spans="1:16">
      <c r="A84" s="7" t="s">
        <v>1189</v>
      </c>
      <c r="B84" s="10" t="str">
        <f t="shared" si="3"/>
        <v>XWOFZW03 Grading</v>
      </c>
      <c r="C84" s="7" t="s">
        <v>1116</v>
      </c>
      <c r="D84" s="7">
        <v>3</v>
      </c>
      <c r="E84" s="7" t="s">
        <v>607</v>
      </c>
      <c r="F84" s="7" t="s">
        <v>50</v>
      </c>
      <c r="H84" s="7" t="s">
        <v>1162</v>
      </c>
      <c r="I84" s="7" t="s">
        <v>1163</v>
      </c>
      <c r="J84" s="7" t="str">
        <f>VLOOKUP(E84,V!A:K,7,FALSE)</f>
        <v>RIFT</v>
      </c>
      <c r="K84" s="7" t="str">
        <f>VLOOKUP(E84,V!A:K,9,FALSE)</f>
        <v>SM</v>
      </c>
      <c r="L84" s="7">
        <f>VLOOKUP(E84,V!A:K,3,FALSE)</f>
        <v>0.5</v>
      </c>
      <c r="M84" s="7">
        <f>VLOOKUP(E84,V!A:K,4,FALSE)</f>
        <v>1265</v>
      </c>
      <c r="N84" s="7">
        <f>VLOOKUP(E84,V!A:K,5,FALSE)</f>
        <v>2520</v>
      </c>
    </row>
    <row r="85" spans="1:16">
      <c r="A85" s="7" t="s">
        <v>1189</v>
      </c>
      <c r="B85" s="10" t="str">
        <f t="shared" si="3"/>
        <v>XWOFZW03 Grading</v>
      </c>
      <c r="C85" s="7" t="s">
        <v>1116</v>
      </c>
      <c r="D85" s="7">
        <v>3</v>
      </c>
      <c r="E85" s="7" t="s">
        <v>555</v>
      </c>
      <c r="F85" s="7" t="s">
        <v>50</v>
      </c>
      <c r="H85" s="7" t="s">
        <v>1162</v>
      </c>
      <c r="I85" s="7" t="s">
        <v>1163</v>
      </c>
      <c r="J85" s="7" t="str">
        <f>VLOOKUP(E85,V!A:K,7,FALSE)</f>
        <v>RIFT</v>
      </c>
      <c r="K85" s="7" t="str">
        <f>VLOOKUP(E85,V!A:K,9,FALSE)</f>
        <v>MPF</v>
      </c>
      <c r="L85" s="7">
        <f>VLOOKUP(E85,V!A:K,3,FALSE)</f>
        <v>0.5</v>
      </c>
      <c r="M85" s="7">
        <f>VLOOKUP(E85,V!A:K,4,FALSE)</f>
        <v>1265</v>
      </c>
      <c r="N85" s="7">
        <f>VLOOKUP(E85,V!A:K,5,FALSE)</f>
        <v>2520</v>
      </c>
    </row>
    <row r="86" spans="1:16">
      <c r="A86" s="7" t="s">
        <v>1189</v>
      </c>
      <c r="B86" s="10" t="str">
        <f t="shared" si="3"/>
        <v>XWOFZW03 Grading</v>
      </c>
      <c r="C86" s="7" t="s">
        <v>1116</v>
      </c>
      <c r="D86" s="7">
        <v>3</v>
      </c>
      <c r="E86" s="7" t="s">
        <v>2236</v>
      </c>
      <c r="F86" s="7" t="s">
        <v>50</v>
      </c>
      <c r="H86" s="7" t="s">
        <v>1162</v>
      </c>
      <c r="I86" s="7" t="s">
        <v>1163</v>
      </c>
      <c r="J86" s="7" t="str">
        <f>VLOOKUP(E86,V!A:K,7,FALSE)</f>
        <v>RIFT</v>
      </c>
      <c r="K86" s="7" t="str">
        <f>VLOOKUP(E86,V!A:K,9,FALSE)</f>
        <v>MPF</v>
      </c>
      <c r="L86" s="7">
        <f>VLOOKUP(E86,V!A:K,3,FALSE)</f>
        <v>0.5</v>
      </c>
      <c r="M86" s="7">
        <f>VLOOKUP(E86,V!A:K,4,FALSE)</f>
        <v>1265</v>
      </c>
      <c r="N86" s="7">
        <f>VLOOKUP(E86,V!A:K,5,FALSE)</f>
        <v>2520</v>
      </c>
    </row>
    <row r="87" spans="1:16">
      <c r="A87" s="7" t="s">
        <v>1189</v>
      </c>
      <c r="B87" s="10" t="str">
        <f t="shared" si="3"/>
        <v>XWOFZW03 Grading</v>
      </c>
      <c r="C87" s="7" t="s">
        <v>1116</v>
      </c>
      <c r="D87" s="7">
        <v>3</v>
      </c>
      <c r="E87" s="7" t="s">
        <v>1465</v>
      </c>
      <c r="F87" s="7" t="s">
        <v>50</v>
      </c>
      <c r="H87" s="7" t="s">
        <v>1162</v>
      </c>
      <c r="I87" s="7" t="s">
        <v>1163</v>
      </c>
      <c r="J87" s="7" t="str">
        <f>VLOOKUP(E87,V!A:K,7,FALSE)</f>
        <v>Z</v>
      </c>
      <c r="K87" s="7" t="str">
        <f>VLOOKUP(E87,V!A:K,9,FALSE)</f>
        <v>Z</v>
      </c>
      <c r="L87" s="7">
        <f>VLOOKUP(E87,V!A:K,3,FALSE)</f>
        <v>0.5</v>
      </c>
      <c r="M87" s="7">
        <f>VLOOKUP(E87,V!A:K,4,FALSE)</f>
        <v>1265</v>
      </c>
      <c r="N87" s="7">
        <f>VLOOKUP(E87,V!A:K,5,FALSE)</f>
        <v>2520</v>
      </c>
    </row>
    <row r="88" spans="1:16">
      <c r="A88" s="7" t="s">
        <v>1189</v>
      </c>
      <c r="B88" s="10" t="str">
        <f t="shared" si="3"/>
        <v>XWOFZW03 Grading</v>
      </c>
      <c r="C88" s="7" t="s">
        <v>1116</v>
      </c>
      <c r="D88" s="7">
        <v>3</v>
      </c>
      <c r="E88" s="7" t="s">
        <v>554</v>
      </c>
      <c r="F88" s="7" t="s">
        <v>50</v>
      </c>
      <c r="H88" s="7" t="s">
        <v>1162</v>
      </c>
      <c r="I88" s="7" t="s">
        <v>1163</v>
      </c>
      <c r="J88" s="7" t="str">
        <f>VLOOKUP(E88,V!A:K,7,FALSE)</f>
        <v>RIFT</v>
      </c>
      <c r="K88" s="7" t="str">
        <f>VLOOKUP(E88,V!A:K,9,FALSE)</f>
        <v>SM</v>
      </c>
      <c r="L88" s="7">
        <f>VLOOKUP(E88,V!A:K,3,FALSE)</f>
        <v>0.5</v>
      </c>
      <c r="M88" s="7">
        <f>VLOOKUP(E88,V!A:K,4,FALSE)</f>
        <v>1265</v>
      </c>
      <c r="N88" s="7">
        <f>VLOOKUP(E88,V!A:K,5,FALSE)</f>
        <v>2520</v>
      </c>
    </row>
    <row r="89" spans="1:16">
      <c r="A89" s="22" t="s">
        <v>1190</v>
      </c>
      <c r="B89" s="10" t="str">
        <f t="shared" si="3"/>
        <v>XWOFZW04 Grading</v>
      </c>
      <c r="C89" s="7" t="s">
        <v>46</v>
      </c>
      <c r="D89" s="7">
        <v>1</v>
      </c>
      <c r="E89" s="7" t="str">
        <f t="shared" si="1"/>
        <v>XWOFZW04</v>
      </c>
      <c r="F89" s="7" t="s">
        <v>50</v>
      </c>
      <c r="H89" s="7" t="s">
        <v>1162</v>
      </c>
      <c r="I89" s="7" t="s">
        <v>1163</v>
      </c>
      <c r="J89" s="7" t="str">
        <f>VLOOKUP(E89,V!A:K,7,FALSE)</f>
        <v>RIFT</v>
      </c>
      <c r="K89" s="7" t="str">
        <f>VLOOKUP(E89,V!A:K,9,FALSE)</f>
        <v>Z</v>
      </c>
      <c r="L89" s="7">
        <f>VLOOKUP(E89,V!A:K,3,FALSE)</f>
        <v>0.4</v>
      </c>
      <c r="M89" s="7">
        <f>VLOOKUP(E89,V!A:K,4,FALSE)</f>
        <v>1265</v>
      </c>
      <c r="N89" s="7">
        <f>VLOOKUP(E89,V!A:K,5,FALSE)</f>
        <v>3100</v>
      </c>
      <c r="O89" s="7">
        <v>100</v>
      </c>
      <c r="P89" s="7">
        <v>0</v>
      </c>
    </row>
    <row r="90" spans="1:16">
      <c r="A90" s="7" t="s">
        <v>1190</v>
      </c>
      <c r="B90" s="10" t="str">
        <f t="shared" si="3"/>
        <v>XWOFZW04 Grading</v>
      </c>
      <c r="C90" s="7" t="s">
        <v>1116</v>
      </c>
      <c r="D90" s="7">
        <v>2</v>
      </c>
      <c r="E90" s="7" t="s">
        <v>2408</v>
      </c>
      <c r="F90" s="7" t="s">
        <v>50</v>
      </c>
      <c r="H90" s="7" t="s">
        <v>1162</v>
      </c>
      <c r="I90" s="7" t="s">
        <v>1163</v>
      </c>
      <c r="J90" s="7" t="str">
        <f>VLOOKUP(E90,V!A:K,7,FALSE)</f>
        <v>RIFT</v>
      </c>
      <c r="K90" s="7" t="str">
        <f>VLOOKUP(E90,V!A:K,9,FALSE)</f>
        <v>PM</v>
      </c>
      <c r="L90" s="7">
        <f>VLOOKUP(E90,V!A:K,3,FALSE)</f>
        <v>0.5</v>
      </c>
      <c r="M90" s="7">
        <f>VLOOKUP(E90,V!A:K,4,FALSE)</f>
        <v>1265</v>
      </c>
      <c r="N90" s="7">
        <f>VLOOKUP(E90,V!A:K,5,FALSE)</f>
        <v>3100</v>
      </c>
    </row>
    <row r="91" spans="1:16">
      <c r="A91" s="7" t="s">
        <v>1190</v>
      </c>
      <c r="B91" s="10" t="str">
        <f t="shared" si="3"/>
        <v>XWOFZW04 Grading</v>
      </c>
      <c r="C91" s="7" t="s">
        <v>1116</v>
      </c>
      <c r="D91" s="7">
        <v>3</v>
      </c>
      <c r="E91" s="7" t="s">
        <v>2225</v>
      </c>
      <c r="F91" s="7" t="s">
        <v>50</v>
      </c>
      <c r="H91" s="7" t="s">
        <v>1162</v>
      </c>
      <c r="I91" s="7" t="s">
        <v>1163</v>
      </c>
      <c r="J91" s="7" t="str">
        <f>VLOOKUP(E91,V!A:K,7,FALSE)</f>
        <v>RIFT</v>
      </c>
      <c r="K91" s="7" t="str">
        <f>VLOOKUP(E91,V!A:K,9,FALSE)</f>
        <v>MPF</v>
      </c>
      <c r="L91" s="7">
        <f>VLOOKUP(E91,V!A:K,3,FALSE)</f>
        <v>0.5</v>
      </c>
      <c r="M91" s="7">
        <f>VLOOKUP(E91,V!A:K,4,FALSE)</f>
        <v>1265</v>
      </c>
      <c r="N91" s="7">
        <f>VLOOKUP(E91,V!A:K,5,FALSE)</f>
        <v>3300</v>
      </c>
    </row>
    <row r="92" spans="1:16">
      <c r="A92" s="7" t="s">
        <v>1190</v>
      </c>
      <c r="B92" s="10" t="str">
        <f t="shared" si="3"/>
        <v>XWOFZW04 Grading</v>
      </c>
      <c r="C92" s="7" t="s">
        <v>1116</v>
      </c>
      <c r="D92" s="7">
        <v>4</v>
      </c>
      <c r="E92" s="7" t="s">
        <v>558</v>
      </c>
      <c r="F92" s="7" t="s">
        <v>50</v>
      </c>
      <c r="H92" s="7" t="s">
        <v>1162</v>
      </c>
      <c r="I92" s="7" t="s">
        <v>1163</v>
      </c>
      <c r="J92" s="7" t="str">
        <f>VLOOKUP(E92,V!A:K,7,FALSE)</f>
        <v>RIFT</v>
      </c>
      <c r="K92" s="7" t="str">
        <f>VLOOKUP(E92,V!A:K,9,FALSE)</f>
        <v>SM</v>
      </c>
      <c r="L92" s="7">
        <f>VLOOKUP(E92,V!A:K,3,FALSE)</f>
        <v>0.5</v>
      </c>
      <c r="M92" s="7">
        <f>VLOOKUP(E92,V!A:K,4,FALSE)</f>
        <v>1265</v>
      </c>
      <c r="N92" s="7">
        <f>VLOOKUP(E92,V!A:K,5,FALSE)</f>
        <v>3100</v>
      </c>
    </row>
    <row r="93" spans="1:16">
      <c r="A93" s="7" t="s">
        <v>1190</v>
      </c>
      <c r="B93" s="10" t="str">
        <f t="shared" si="3"/>
        <v>XWOFZW04 Grading</v>
      </c>
      <c r="C93" s="7" t="s">
        <v>1116</v>
      </c>
      <c r="D93" s="7">
        <v>5</v>
      </c>
      <c r="E93" s="7" t="s">
        <v>2296</v>
      </c>
      <c r="F93" s="7" t="s">
        <v>50</v>
      </c>
      <c r="H93" s="7" t="s">
        <v>1162</v>
      </c>
      <c r="I93" s="7" t="s">
        <v>1163</v>
      </c>
      <c r="J93" s="7" t="str">
        <f>VLOOKUP(E93,V!A:K,7,FALSE)</f>
        <v>RIFT</v>
      </c>
      <c r="K93" s="7" t="str">
        <f>VLOOKUP(E93,V!A:K,9,FALSE)</f>
        <v>SM</v>
      </c>
      <c r="L93" s="7">
        <f>VLOOKUP(E93,V!A:K,3,FALSE)</f>
        <v>0.5</v>
      </c>
      <c r="M93" s="7">
        <f>VLOOKUP(E93,V!A:K,4,FALSE)</f>
        <v>1265</v>
      </c>
      <c r="N93" s="7">
        <f>VLOOKUP(E93,V!A:K,5,FALSE)</f>
        <v>3100</v>
      </c>
    </row>
    <row r="94" spans="1:16">
      <c r="A94" s="7" t="s">
        <v>1190</v>
      </c>
      <c r="B94" s="10" t="str">
        <f t="shared" si="3"/>
        <v>XWOFZW04 Grading</v>
      </c>
      <c r="C94" s="7" t="s">
        <v>1116</v>
      </c>
      <c r="D94" s="7">
        <v>6</v>
      </c>
      <c r="E94" s="7" t="s">
        <v>1159</v>
      </c>
      <c r="F94" s="7" t="s">
        <v>50</v>
      </c>
      <c r="H94" s="7" t="s">
        <v>1162</v>
      </c>
      <c r="I94" s="7" t="s">
        <v>1163</v>
      </c>
      <c r="J94" s="7" t="str">
        <f>VLOOKUP(E94,V!A:K,7,FALSE)</f>
        <v>RIFT</v>
      </c>
      <c r="K94" s="7" t="str">
        <f>VLOOKUP(E94,V!A:K,9,FALSE)</f>
        <v>Z</v>
      </c>
      <c r="L94" s="7">
        <f>VLOOKUP(E94,V!A:K,3,FALSE)</f>
        <v>0.5</v>
      </c>
      <c r="M94" s="7">
        <f>VLOOKUP(E94,V!A:K,4,FALSE)</f>
        <v>1265</v>
      </c>
      <c r="N94" s="7">
        <f>VLOOKUP(E94,V!A:K,5,FALSE)</f>
        <v>2520</v>
      </c>
    </row>
    <row r="95" spans="1:16">
      <c r="A95" s="7" t="s">
        <v>1190</v>
      </c>
      <c r="B95" s="10" t="str">
        <f t="shared" si="3"/>
        <v>XWOFZW04 Grading</v>
      </c>
      <c r="C95" s="7" t="s">
        <v>1116</v>
      </c>
      <c r="D95" s="7">
        <v>7</v>
      </c>
      <c r="E95" s="7" t="s">
        <v>2248</v>
      </c>
      <c r="F95" s="7" t="s">
        <v>50</v>
      </c>
      <c r="H95" s="7" t="s">
        <v>1162</v>
      </c>
      <c r="I95" s="7" t="s">
        <v>1163</v>
      </c>
      <c r="J95" s="7" t="str">
        <f>VLOOKUP(E95,V!A:K,7,FALSE)</f>
        <v>RIFT</v>
      </c>
      <c r="K95" s="7" t="str">
        <f>VLOOKUP(E95,V!A:K,9,FALSE)</f>
        <v>BM</v>
      </c>
      <c r="L95" s="7">
        <f>VLOOKUP(E95,V!A:K,3,FALSE)</f>
        <v>0.5</v>
      </c>
      <c r="M95" s="7">
        <f>VLOOKUP(E95,V!A:K,4,FALSE)</f>
        <v>1265</v>
      </c>
      <c r="N95" s="7">
        <f>VLOOKUP(E95,V!A:K,5,FALSE)</f>
        <v>3100</v>
      </c>
    </row>
    <row r="96" spans="1:16">
      <c r="A96" s="7" t="s">
        <v>1190</v>
      </c>
      <c r="B96" s="10" t="str">
        <f t="shared" si="3"/>
        <v>XWOFZW04 Grading</v>
      </c>
      <c r="C96" s="7" t="s">
        <v>1116</v>
      </c>
      <c r="D96" s="7">
        <v>8</v>
      </c>
      <c r="E96" s="7" t="s">
        <v>633</v>
      </c>
      <c r="F96" s="7" t="s">
        <v>50</v>
      </c>
      <c r="H96" s="7" t="s">
        <v>1162</v>
      </c>
      <c r="I96" s="7" t="s">
        <v>1163</v>
      </c>
      <c r="J96" s="7" t="str">
        <f>VLOOKUP(E96,V!A:K,7,FALSE)</f>
        <v>RIFT</v>
      </c>
      <c r="K96" s="7" t="str">
        <f>VLOOKUP(E96,V!A:K,9,FALSE)</f>
        <v>MPF</v>
      </c>
      <c r="L96" s="7">
        <f>VLOOKUP(E96,V!A:K,3,FALSE)</f>
        <v>0.5</v>
      </c>
      <c r="M96" s="7">
        <f>VLOOKUP(E96,V!A:K,4,FALSE)</f>
        <v>1265</v>
      </c>
      <c r="N96" s="7">
        <f>VLOOKUP(E96,V!A:K,5,FALSE)</f>
        <v>3300</v>
      </c>
    </row>
    <row r="97" spans="1:16">
      <c r="A97" s="22" t="s">
        <v>1191</v>
      </c>
      <c r="B97" s="10" t="str">
        <f t="shared" si="3"/>
        <v>XWOPZW04 Grading</v>
      </c>
      <c r="C97" s="7" t="s">
        <v>46</v>
      </c>
      <c r="D97" s="7">
        <v>1</v>
      </c>
      <c r="E97" s="7" t="str">
        <f t="shared" si="1"/>
        <v>XWOPZW04</v>
      </c>
      <c r="F97" s="7" t="s">
        <v>50</v>
      </c>
      <c r="H97" s="7" t="s">
        <v>1162</v>
      </c>
      <c r="I97" s="7" t="s">
        <v>1163</v>
      </c>
      <c r="J97" s="7" t="str">
        <f>VLOOKUP(E97,V!A:K,7,FALSE)</f>
        <v>PC</v>
      </c>
      <c r="K97" s="7" t="str">
        <f>VLOOKUP(E97,V!A:K,9,FALSE)</f>
        <v>Z</v>
      </c>
      <c r="L97" s="7">
        <f>VLOOKUP(E97,V!A:K,3,FALSE)</f>
        <v>0.4</v>
      </c>
      <c r="M97" s="7">
        <f>VLOOKUP(E97,V!A:K,4,FALSE)</f>
        <v>1265</v>
      </c>
      <c r="N97" s="7">
        <f>VLOOKUP(E97,V!A:K,5,FALSE)</f>
        <v>2520</v>
      </c>
      <c r="O97" s="7">
        <v>100</v>
      </c>
      <c r="P97" s="7">
        <v>0</v>
      </c>
    </row>
    <row r="98" spans="1:16">
      <c r="A98" s="7" t="s">
        <v>1191</v>
      </c>
      <c r="B98" s="10" t="str">
        <f t="shared" si="3"/>
        <v>XWOPZW04 Grading</v>
      </c>
      <c r="C98" s="7" t="s">
        <v>1116</v>
      </c>
      <c r="D98" s="7">
        <v>2</v>
      </c>
      <c r="E98" s="7" t="s">
        <v>575</v>
      </c>
      <c r="F98" s="7" t="s">
        <v>50</v>
      </c>
      <c r="H98" s="7" t="s">
        <v>1162</v>
      </c>
      <c r="I98" s="7" t="s">
        <v>1163</v>
      </c>
      <c r="J98" s="7" t="str">
        <f>VLOOKUP(E98,V!A:K,7,FALSE)</f>
        <v>PC</v>
      </c>
      <c r="K98" s="7" t="str">
        <f>VLOOKUP(E98,V!A:K,9,FALSE)</f>
        <v>BM</v>
      </c>
      <c r="L98" s="7">
        <f>VLOOKUP(E98,V!A:K,3,FALSE)</f>
        <v>0.5</v>
      </c>
      <c r="M98" s="7">
        <f>VLOOKUP(E98,V!A:K,4,FALSE)</f>
        <v>1265</v>
      </c>
      <c r="N98" s="7">
        <f>VLOOKUP(E98,V!A:K,5,FALSE)</f>
        <v>2520</v>
      </c>
    </row>
    <row r="99" spans="1:16">
      <c r="A99" s="7" t="s">
        <v>1191</v>
      </c>
      <c r="B99" s="10" t="str">
        <f t="shared" si="3"/>
        <v>XWOPZW04 Grading</v>
      </c>
      <c r="C99" s="7" t="s">
        <v>1116</v>
      </c>
      <c r="D99" s="7">
        <v>3</v>
      </c>
      <c r="E99" s="7" t="s">
        <v>692</v>
      </c>
      <c r="F99" s="7" t="s">
        <v>50</v>
      </c>
      <c r="H99" s="7" t="s">
        <v>1162</v>
      </c>
      <c r="I99" s="7" t="s">
        <v>1163</v>
      </c>
      <c r="J99" s="7" t="str">
        <f>VLOOKUP(E99,V!A:K,7,FALSE)</f>
        <v>PC</v>
      </c>
      <c r="K99" s="7" t="str">
        <f>VLOOKUP(E99,V!A:K,9,FALSE)</f>
        <v>BM</v>
      </c>
      <c r="L99" s="7">
        <f>VLOOKUP(E99,V!A:K,3,FALSE)</f>
        <v>0.5</v>
      </c>
      <c r="M99" s="7">
        <f>VLOOKUP(E99,V!A:K,4,FALSE)</f>
        <v>1265</v>
      </c>
      <c r="N99" s="7">
        <f>VLOOKUP(E99,V!A:K,5,FALSE)</f>
        <v>2520</v>
      </c>
    </row>
    <row r="100" spans="1:16">
      <c r="A100" s="7" t="s">
        <v>1191</v>
      </c>
      <c r="B100" s="10" t="str">
        <f t="shared" si="3"/>
        <v>XWOPZW04 Grading</v>
      </c>
      <c r="C100" s="7" t="s">
        <v>1116</v>
      </c>
      <c r="D100" s="7">
        <v>4</v>
      </c>
      <c r="E100" s="7" t="s">
        <v>668</v>
      </c>
      <c r="F100" s="7" t="s">
        <v>50</v>
      </c>
      <c r="H100" s="7" t="s">
        <v>1162</v>
      </c>
      <c r="I100" s="7" t="s">
        <v>1163</v>
      </c>
      <c r="J100" s="7" t="str">
        <f>VLOOKUP(E100,V!A:K,7,FALSE)</f>
        <v>PC</v>
      </c>
      <c r="K100" s="7" t="str">
        <f>VLOOKUP(E100,V!A:K,9,FALSE)</f>
        <v>BM</v>
      </c>
      <c r="L100" s="7">
        <f>VLOOKUP(E100,V!A:K,3,FALSE)</f>
        <v>0.5</v>
      </c>
      <c r="M100" s="7">
        <f>VLOOKUP(E100,V!A:K,4,FALSE)</f>
        <v>1265</v>
      </c>
      <c r="N100" s="7">
        <f>VLOOKUP(E100,V!A:K,5,FALSE)</f>
        <v>2520</v>
      </c>
    </row>
    <row r="101" spans="1:16">
      <c r="A101" s="7" t="s">
        <v>1191</v>
      </c>
      <c r="B101" s="10" t="str">
        <f t="shared" si="3"/>
        <v>XWOPZW04 Grading</v>
      </c>
      <c r="C101" s="7" t="s">
        <v>1116</v>
      </c>
      <c r="D101" s="7">
        <v>5</v>
      </c>
      <c r="E101" s="7" t="s">
        <v>576</v>
      </c>
      <c r="F101" s="7" t="s">
        <v>50</v>
      </c>
      <c r="H101" s="7" t="s">
        <v>1162</v>
      </c>
      <c r="I101" s="7" t="s">
        <v>1163</v>
      </c>
      <c r="J101" s="7" t="str">
        <f>VLOOKUP(E101,V!A:K,7,FALSE)</f>
        <v>PC</v>
      </c>
      <c r="K101" s="7" t="str">
        <f>VLOOKUP(E101,V!A:K,9,FALSE)</f>
        <v>MPF</v>
      </c>
      <c r="L101" s="7">
        <f>VLOOKUP(E101,V!A:K,3,FALSE)</f>
        <v>0.5</v>
      </c>
      <c r="M101" s="7">
        <f>VLOOKUP(E101,V!A:K,4,FALSE)</f>
        <v>1265</v>
      </c>
      <c r="N101" s="7">
        <f>VLOOKUP(E101,V!A:K,5,FALSE)</f>
        <v>2520</v>
      </c>
    </row>
    <row r="102" spans="1:16">
      <c r="A102" s="22" t="s">
        <v>1192</v>
      </c>
      <c r="B102" s="10" t="str">
        <f t="shared" si="3"/>
        <v>XWOFZW08 Grading</v>
      </c>
      <c r="C102" s="7" t="s">
        <v>46</v>
      </c>
      <c r="D102" s="7">
        <v>1</v>
      </c>
      <c r="E102" s="7" t="str">
        <f t="shared" si="1"/>
        <v>XWOFZW08</v>
      </c>
      <c r="F102" s="7" t="s">
        <v>50</v>
      </c>
      <c r="H102" s="7" t="s">
        <v>1162</v>
      </c>
      <c r="I102" s="7" t="s">
        <v>1163</v>
      </c>
      <c r="J102" s="7" t="str">
        <f>VLOOKUP(E102,V!A:K,7,FALSE)</f>
        <v>RIFT</v>
      </c>
      <c r="K102" s="7" t="str">
        <f>VLOOKUP(E102,V!A:K,9,FALSE)</f>
        <v>Z</v>
      </c>
      <c r="L102" s="7">
        <f>VLOOKUP(E102,V!A:K,3,FALSE)</f>
        <v>0.4</v>
      </c>
      <c r="M102" s="7">
        <f>VLOOKUP(E102,V!A:K,4,FALSE)</f>
        <v>965</v>
      </c>
      <c r="N102" s="7">
        <f>VLOOKUP(E102,V!A:K,5,FALSE)</f>
        <v>2520</v>
      </c>
      <c r="O102" s="7">
        <v>100</v>
      </c>
      <c r="P102" s="7">
        <v>0</v>
      </c>
    </row>
    <row r="103" spans="1:16">
      <c r="A103" s="7" t="s">
        <v>1192</v>
      </c>
      <c r="B103" s="10" t="str">
        <f t="shared" si="3"/>
        <v>XWOFZW08 Grading</v>
      </c>
      <c r="C103" s="7" t="s">
        <v>1116</v>
      </c>
      <c r="D103" s="7">
        <v>2</v>
      </c>
      <c r="E103" s="7" t="s">
        <v>1072</v>
      </c>
      <c r="F103" s="7" t="s">
        <v>50</v>
      </c>
      <c r="H103" s="7" t="s">
        <v>1162</v>
      </c>
      <c r="I103" s="7" t="s">
        <v>1163</v>
      </c>
      <c r="J103" s="7" t="str">
        <f>VLOOKUP(E103,V!A:K,7,FALSE)</f>
        <v>RIFT</v>
      </c>
      <c r="K103" s="7" t="str">
        <f>VLOOKUP(E103,V!A:K,9,FALSE)</f>
        <v>BM</v>
      </c>
      <c r="L103" s="7">
        <f>VLOOKUP(E103,V!A:K,3,FALSE)</f>
        <v>0.5</v>
      </c>
      <c r="M103" s="7">
        <f>VLOOKUP(E103,V!A:K,4,FALSE)</f>
        <v>965</v>
      </c>
      <c r="N103" s="7">
        <f>VLOOKUP(E103,V!A:K,5,FALSE)</f>
        <v>2520</v>
      </c>
    </row>
    <row r="104" spans="1:16">
      <c r="A104" s="7" t="s">
        <v>1192</v>
      </c>
      <c r="B104" s="10" t="str">
        <f t="shared" si="3"/>
        <v>XWOFZW08 Grading</v>
      </c>
      <c r="C104" s="7" t="s">
        <v>1116</v>
      </c>
      <c r="D104" s="7">
        <v>3</v>
      </c>
      <c r="E104" s="7" t="s">
        <v>1069</v>
      </c>
      <c r="F104" s="7" t="s">
        <v>50</v>
      </c>
      <c r="H104" s="7" t="s">
        <v>1162</v>
      </c>
      <c r="I104" s="7" t="s">
        <v>1163</v>
      </c>
      <c r="J104" s="7" t="str">
        <f>VLOOKUP(E104,V!A:K,7,FALSE)</f>
        <v>RIFT</v>
      </c>
      <c r="K104" s="7" t="str">
        <f>VLOOKUP(E104,V!A:K,9,FALSE)</f>
        <v>BM</v>
      </c>
      <c r="L104" s="7">
        <f>VLOOKUP(E104,V!A:K,3,FALSE)</f>
        <v>0.5</v>
      </c>
      <c r="M104" s="7">
        <f>VLOOKUP(E104,V!A:K,4,FALSE)</f>
        <v>965</v>
      </c>
      <c r="N104" s="7">
        <f>VLOOKUP(E104,V!A:K,5,FALSE)</f>
        <v>2250</v>
      </c>
    </row>
    <row r="105" spans="1:16">
      <c r="A105" s="22" t="s">
        <v>1193</v>
      </c>
      <c r="B105" s="10" t="str">
        <f t="shared" si="3"/>
        <v>XWOPZW09 Grading</v>
      </c>
      <c r="C105" s="7" t="s">
        <v>46</v>
      </c>
      <c r="D105" s="7">
        <v>1</v>
      </c>
      <c r="E105" s="7" t="str">
        <f t="shared" si="1"/>
        <v>XWOPZW09</v>
      </c>
      <c r="F105" s="7" t="s">
        <v>50</v>
      </c>
      <c r="H105" s="7" t="s">
        <v>1162</v>
      </c>
      <c r="I105" s="7" t="s">
        <v>1163</v>
      </c>
      <c r="J105" s="7" t="str">
        <f>VLOOKUP(E105,V!A:K,7,FALSE)</f>
        <v>PC</v>
      </c>
      <c r="K105" s="7" t="str">
        <f>VLOOKUP(E105,V!A:K,9,FALSE)</f>
        <v>Z</v>
      </c>
      <c r="L105" s="7">
        <f>VLOOKUP(E105,V!A:K,3,FALSE)</f>
        <v>0.4</v>
      </c>
      <c r="M105" s="7">
        <f>VLOOKUP(E105,V!A:K,4,FALSE)</f>
        <v>965</v>
      </c>
      <c r="N105" s="7">
        <f>VLOOKUP(E105,V!A:K,5,FALSE)</f>
        <v>2520</v>
      </c>
      <c r="O105" s="7">
        <v>100</v>
      </c>
      <c r="P105" s="7">
        <v>0</v>
      </c>
    </row>
    <row r="106" spans="1:16">
      <c r="A106" s="7" t="s">
        <v>1193</v>
      </c>
      <c r="B106" s="10" t="str">
        <f t="shared" si="3"/>
        <v>XWOPZW09 Grading</v>
      </c>
      <c r="C106" s="7" t="s">
        <v>1116</v>
      </c>
      <c r="D106" s="7">
        <v>2</v>
      </c>
      <c r="E106" s="7" t="s">
        <v>1060</v>
      </c>
      <c r="F106" s="7" t="s">
        <v>50</v>
      </c>
      <c r="H106" s="7" t="s">
        <v>1162</v>
      </c>
      <c r="I106" s="7" t="s">
        <v>1163</v>
      </c>
      <c r="J106" s="7" t="str">
        <f>VLOOKUP(E106,V!A:K,7,FALSE)</f>
        <v>PC</v>
      </c>
      <c r="K106" s="7" t="str">
        <f>VLOOKUP(E106,V!A:K,9,FALSE)</f>
        <v>BM</v>
      </c>
      <c r="L106" s="7">
        <f>VLOOKUP(E106,V!A:K,3,FALSE)</f>
        <v>0.5</v>
      </c>
      <c r="M106" s="7">
        <f>VLOOKUP(E106,V!A:K,4,FALSE)</f>
        <v>965</v>
      </c>
      <c r="N106" s="7">
        <f>VLOOKUP(E106,V!A:K,5,FALSE)</f>
        <v>2520</v>
      </c>
    </row>
    <row r="107" spans="1:16">
      <c r="A107" s="22" t="s">
        <v>1194</v>
      </c>
      <c r="B107" s="10" t="str">
        <f t="shared" si="3"/>
        <v>XWOPZW03 Grading</v>
      </c>
      <c r="C107" s="7" t="s">
        <v>46</v>
      </c>
      <c r="D107" s="7">
        <v>1</v>
      </c>
      <c r="E107" s="7" t="str">
        <f t="shared" si="1"/>
        <v>XWOPZW03</v>
      </c>
      <c r="F107" s="7" t="s">
        <v>50</v>
      </c>
      <c r="H107" s="7" t="s">
        <v>1162</v>
      </c>
      <c r="I107" s="7" t="s">
        <v>1163</v>
      </c>
      <c r="J107" s="7" t="str">
        <f>VLOOKUP(E107,V!A:K,7,FALSE)</f>
        <v>PC</v>
      </c>
      <c r="K107" s="7" t="str">
        <f>VLOOKUP(E107,V!A:K,9,FALSE)</f>
        <v>Z</v>
      </c>
      <c r="L107" s="7">
        <f>VLOOKUP(E107,V!A:K,3,FALSE)</f>
        <v>0.4</v>
      </c>
      <c r="M107" s="7">
        <f>VLOOKUP(E107,V!A:K,4,FALSE)</f>
        <v>1265</v>
      </c>
      <c r="N107" s="7">
        <f>VLOOKUP(E107,V!A:K,5,FALSE)</f>
        <v>3100</v>
      </c>
      <c r="O107" s="7">
        <v>100</v>
      </c>
      <c r="P107" s="7">
        <v>0</v>
      </c>
    </row>
    <row r="108" spans="1:16">
      <c r="A108" s="7" t="s">
        <v>1194</v>
      </c>
      <c r="B108" s="10" t="str">
        <f t="shared" si="3"/>
        <v>XWOPZW03 Grading</v>
      </c>
      <c r="C108" s="7" t="s">
        <v>1116</v>
      </c>
      <c r="D108" s="7">
        <v>3</v>
      </c>
      <c r="E108" s="7" t="s">
        <v>2166</v>
      </c>
      <c r="F108" s="7" t="s">
        <v>50</v>
      </c>
      <c r="H108" s="7" t="s">
        <v>1162</v>
      </c>
      <c r="I108" s="7" t="s">
        <v>1163</v>
      </c>
      <c r="J108" s="7" t="str">
        <f>VLOOKUP(E108,V!A:K,7,FALSE)</f>
        <v>PC</v>
      </c>
      <c r="K108" s="7" t="str">
        <f>VLOOKUP(E108,V!A:K,9,FALSE)</f>
        <v>BM</v>
      </c>
      <c r="L108" s="7">
        <f>VLOOKUP(E108,V!A:K,3,FALSE)</f>
        <v>0.5</v>
      </c>
      <c r="M108" s="7">
        <f>VLOOKUP(E108,V!A:K,4,FALSE)</f>
        <v>1265</v>
      </c>
      <c r="N108" s="7">
        <f>VLOOKUP(E108,V!A:K,5,FALSE)</f>
        <v>3100</v>
      </c>
    </row>
    <row r="109" spans="1:16">
      <c r="A109" s="7" t="s">
        <v>1194</v>
      </c>
      <c r="B109" s="10" t="str">
        <f t="shared" si="3"/>
        <v>XWOPZW03 Grading</v>
      </c>
      <c r="C109" s="7" t="s">
        <v>1116</v>
      </c>
      <c r="D109" s="7">
        <v>3</v>
      </c>
      <c r="E109" s="7" t="s">
        <v>675</v>
      </c>
      <c r="F109" s="7" t="s">
        <v>50</v>
      </c>
      <c r="H109" s="7" t="s">
        <v>1162</v>
      </c>
      <c r="I109" s="7" t="s">
        <v>1163</v>
      </c>
      <c r="J109" s="7" t="str">
        <f>VLOOKUP(E109,V!A:K,7,FALSE)</f>
        <v>PC</v>
      </c>
      <c r="K109" s="7" t="str">
        <f>VLOOKUP(E109,V!A:K,9,FALSE)</f>
        <v>BM</v>
      </c>
      <c r="L109" s="7">
        <f>VLOOKUP(E109,V!A:K,3,FALSE)</f>
        <v>0.5</v>
      </c>
      <c r="M109" s="7">
        <f>VLOOKUP(E109,V!A:K,4,FALSE)</f>
        <v>1265</v>
      </c>
      <c r="N109" s="7">
        <f>VLOOKUP(E109,V!A:K,5,FALSE)</f>
        <v>3100</v>
      </c>
    </row>
    <row r="110" spans="1:16">
      <c r="A110" s="7" t="s">
        <v>1194</v>
      </c>
      <c r="B110" s="10" t="str">
        <f t="shared" si="3"/>
        <v>XWOPZW03 Grading</v>
      </c>
      <c r="C110" s="7" t="s">
        <v>1116</v>
      </c>
      <c r="D110" s="7">
        <v>3</v>
      </c>
      <c r="E110" s="7" t="s">
        <v>2143</v>
      </c>
      <c r="F110" s="7" t="s">
        <v>50</v>
      </c>
      <c r="H110" s="7" t="s">
        <v>1162</v>
      </c>
      <c r="I110" s="7" t="s">
        <v>1163</v>
      </c>
      <c r="J110" s="7" t="str">
        <f>VLOOKUP(E110,V!A:K,7,FALSE)</f>
        <v>PC</v>
      </c>
      <c r="K110" s="7" t="str">
        <f>VLOOKUP(E110,V!A:K,9,FALSE)</f>
        <v>MPF</v>
      </c>
      <c r="L110" s="7">
        <f>VLOOKUP(E110,V!A:K,3,FALSE)</f>
        <v>0.5</v>
      </c>
      <c r="M110" s="7">
        <f>VLOOKUP(E110,V!A:K,4,FALSE)</f>
        <v>1265</v>
      </c>
      <c r="N110" s="7">
        <f>VLOOKUP(E110,V!A:K,5,FALSE)</f>
        <v>3100</v>
      </c>
    </row>
    <row r="111" spans="1:16">
      <c r="A111" s="7" t="s">
        <v>1194</v>
      </c>
      <c r="B111" s="10" t="str">
        <f t="shared" si="3"/>
        <v>XWOPZW03 Grading</v>
      </c>
      <c r="C111" s="7" t="s">
        <v>1116</v>
      </c>
      <c r="D111" s="7">
        <v>3</v>
      </c>
      <c r="E111" s="7" t="s">
        <v>576</v>
      </c>
      <c r="F111" s="7" t="s">
        <v>50</v>
      </c>
      <c r="H111" s="7" t="s">
        <v>1162</v>
      </c>
      <c r="I111" s="7" t="s">
        <v>1163</v>
      </c>
      <c r="J111" s="7" t="str">
        <f>VLOOKUP(E111,V!A:K,7,FALSE)</f>
        <v>PC</v>
      </c>
      <c r="K111" s="7" t="str">
        <f>VLOOKUP(E111,V!A:K,9,FALSE)</f>
        <v>MPF</v>
      </c>
      <c r="L111" s="7">
        <f>VLOOKUP(E111,V!A:K,3,FALSE)</f>
        <v>0.5</v>
      </c>
      <c r="M111" s="7">
        <f>VLOOKUP(E111,V!A:K,4,FALSE)</f>
        <v>1265</v>
      </c>
      <c r="N111" s="7">
        <f>VLOOKUP(E111,V!A:K,5,FALSE)</f>
        <v>2520</v>
      </c>
    </row>
    <row r="112" spans="1:16">
      <c r="A112" s="22" t="s">
        <v>1195</v>
      </c>
      <c r="B112" s="10" t="str">
        <f t="shared" si="3"/>
        <v>XWOPZW01 Grading</v>
      </c>
      <c r="C112" s="7" t="s">
        <v>46</v>
      </c>
      <c r="D112" s="7">
        <v>1</v>
      </c>
      <c r="E112" s="7" t="str">
        <f t="shared" si="1"/>
        <v>XWOPZW01</v>
      </c>
      <c r="F112" s="7" t="s">
        <v>50</v>
      </c>
      <c r="H112" s="7" t="s">
        <v>1162</v>
      </c>
      <c r="I112" s="7" t="s">
        <v>1163</v>
      </c>
      <c r="J112" s="7" t="str">
        <f>VLOOKUP(E112,V!A:K,7,FALSE)</f>
        <v>PC</v>
      </c>
      <c r="K112" s="7" t="str">
        <f>VLOOKUP(E112,V!A:K,9,FALSE)</f>
        <v>Z</v>
      </c>
      <c r="L112" s="7">
        <f>VLOOKUP(E112,V!A:K,3,FALSE)</f>
        <v>0.5</v>
      </c>
      <c r="M112" s="7">
        <f>VLOOKUP(E112,V!A:K,4,FALSE)</f>
        <v>1265</v>
      </c>
      <c r="N112" s="7">
        <f>VLOOKUP(E112,V!A:K,5,FALSE)</f>
        <v>2520</v>
      </c>
      <c r="O112" s="7">
        <v>100</v>
      </c>
      <c r="P112" s="7">
        <v>0</v>
      </c>
    </row>
    <row r="113" spans="1:14">
      <c r="A113" s="7" t="s">
        <v>1195</v>
      </c>
      <c r="B113" s="10" t="str">
        <f t="shared" si="3"/>
        <v>XWOPZW01 Grading</v>
      </c>
      <c r="C113" s="7" t="s">
        <v>1116</v>
      </c>
      <c r="D113" s="7">
        <v>3</v>
      </c>
      <c r="E113" s="7" t="s">
        <v>2421</v>
      </c>
      <c r="F113" s="7" t="s">
        <v>50</v>
      </c>
      <c r="H113" s="7" t="s">
        <v>1162</v>
      </c>
      <c r="I113" s="7" t="s">
        <v>1163</v>
      </c>
      <c r="J113" s="7" t="str">
        <f>VLOOKUP(E113,V!A:K,7,FALSE)</f>
        <v>PC</v>
      </c>
      <c r="K113" s="7" t="str">
        <f>VLOOKUP(E113,V!A:K,9,FALSE)</f>
        <v>BM</v>
      </c>
      <c r="L113" s="7">
        <f>VLOOKUP(E113,V!A:K,3,FALSE)</f>
        <v>0.5</v>
      </c>
      <c r="M113" s="7">
        <f>VLOOKUP(E113,V!A:K,4,FALSE)</f>
        <v>1265</v>
      </c>
      <c r="N113" s="7">
        <f>VLOOKUP(E113,V!A:K,5,FALSE)</f>
        <v>2520</v>
      </c>
    </row>
    <row r="114" spans="1:14">
      <c r="A114" s="7" t="s">
        <v>1195</v>
      </c>
      <c r="B114" s="10" t="str">
        <f t="shared" si="3"/>
        <v>XWOPZW01 Grading</v>
      </c>
      <c r="C114" s="7" t="s">
        <v>1116</v>
      </c>
      <c r="D114" s="7">
        <v>3</v>
      </c>
      <c r="E114" s="7" t="s">
        <v>692</v>
      </c>
      <c r="F114" s="7" t="s">
        <v>50</v>
      </c>
      <c r="H114" s="7" t="s">
        <v>1162</v>
      </c>
      <c r="I114" s="7" t="s">
        <v>1163</v>
      </c>
      <c r="J114" s="7" t="str">
        <f>VLOOKUP(E114,V!A:K,7,FALSE)</f>
        <v>PC</v>
      </c>
      <c r="K114" s="7" t="str">
        <f>VLOOKUP(E114,V!A:K,9,FALSE)</f>
        <v>BM</v>
      </c>
      <c r="L114" s="7">
        <f>VLOOKUP(E114,V!A:K,3,FALSE)</f>
        <v>0.5</v>
      </c>
      <c r="M114" s="7">
        <f>VLOOKUP(E114,V!A:K,4,FALSE)</f>
        <v>1265</v>
      </c>
      <c r="N114" s="7">
        <f>VLOOKUP(E114,V!A:K,5,FALSE)</f>
        <v>2520</v>
      </c>
    </row>
    <row r="115" spans="1:14">
      <c r="A115" s="7" t="s">
        <v>1195</v>
      </c>
      <c r="B115" s="10" t="str">
        <f t="shared" si="3"/>
        <v>XWOPZW01 Grading</v>
      </c>
      <c r="C115" s="7" t="s">
        <v>1116</v>
      </c>
      <c r="D115" s="7">
        <v>3</v>
      </c>
      <c r="E115" s="7" t="s">
        <v>668</v>
      </c>
      <c r="F115" s="7" t="s">
        <v>50</v>
      </c>
      <c r="H115" s="7" t="s">
        <v>1162</v>
      </c>
      <c r="I115" s="7" t="s">
        <v>1163</v>
      </c>
      <c r="J115" s="7" t="str">
        <f>VLOOKUP(E115,V!A:K,7,FALSE)</f>
        <v>PC</v>
      </c>
      <c r="K115" s="7" t="str">
        <f>VLOOKUP(E115,V!A:K,9,FALSE)</f>
        <v>BM</v>
      </c>
      <c r="L115" s="7">
        <f>VLOOKUP(E115,V!A:K,3,FALSE)</f>
        <v>0.5</v>
      </c>
      <c r="M115" s="7">
        <f>VLOOKUP(E115,V!A:K,4,FALSE)</f>
        <v>1265</v>
      </c>
      <c r="N115" s="7">
        <f>VLOOKUP(E115,V!A:K,5,FALSE)</f>
        <v>2520</v>
      </c>
    </row>
    <row r="116" spans="1:14">
      <c r="A116" s="7" t="s">
        <v>1195</v>
      </c>
      <c r="B116" s="10" t="str">
        <f t="shared" si="3"/>
        <v>XWOPZW01 Grading</v>
      </c>
      <c r="C116" s="7" t="s">
        <v>1116</v>
      </c>
      <c r="D116" s="7">
        <v>3</v>
      </c>
      <c r="E116" s="7" t="s">
        <v>576</v>
      </c>
      <c r="F116" s="7" t="s">
        <v>50</v>
      </c>
      <c r="H116" s="7" t="s">
        <v>1162</v>
      </c>
      <c r="I116" s="7" t="s">
        <v>1163</v>
      </c>
      <c r="J116" s="7" t="str">
        <f>VLOOKUP(E116,V!A:K,7,FALSE)</f>
        <v>PC</v>
      </c>
      <c r="K116" s="7" t="str">
        <f>VLOOKUP(E116,V!A:K,9,FALSE)</f>
        <v>MPF</v>
      </c>
      <c r="L116" s="7">
        <f>VLOOKUP(E116,V!A:K,3,FALSE)</f>
        <v>0.5</v>
      </c>
      <c r="M116" s="7">
        <f>VLOOKUP(E116,V!A:K,4,FALSE)</f>
        <v>1265</v>
      </c>
      <c r="N116" s="7">
        <f>VLOOKUP(E116,V!A:K,5,FALSE)</f>
        <v>2520</v>
      </c>
    </row>
    <row r="117" spans="1:14">
      <c r="A117" s="7" t="s">
        <v>1195</v>
      </c>
      <c r="B117" s="10" t="str">
        <f t="shared" si="3"/>
        <v>XWOPZW01 Grading</v>
      </c>
      <c r="C117" s="7" t="s">
        <v>1116</v>
      </c>
      <c r="D117" s="7">
        <v>3</v>
      </c>
      <c r="E117" s="7" t="s">
        <v>2424</v>
      </c>
      <c r="F117" s="7" t="s">
        <v>50</v>
      </c>
      <c r="H117" s="7" t="s">
        <v>1162</v>
      </c>
      <c r="I117" s="7" t="s">
        <v>1163</v>
      </c>
      <c r="J117" s="7" t="str">
        <f>VLOOKUP(E117,V!A:K,7,FALSE)</f>
        <v>PC</v>
      </c>
      <c r="K117" s="7" t="str">
        <f>VLOOKUP(E117,V!A:K,9,FALSE)</f>
        <v>BM</v>
      </c>
      <c r="L117" s="7">
        <f>VLOOKUP(E117,V!A:K,3,FALSE)</f>
        <v>0.5</v>
      </c>
      <c r="M117" s="7">
        <f>VLOOKUP(E117,V!A:K,4,FALSE)</f>
        <v>1265</v>
      </c>
      <c r="N117" s="7">
        <f>VLOOKUP(E117,V!A:K,5,FALSE)</f>
        <v>2520</v>
      </c>
    </row>
    <row r="118" spans="1:14">
      <c r="A118" s="7" t="s">
        <v>1195</v>
      </c>
      <c r="B118" s="10" t="str">
        <f t="shared" si="3"/>
        <v>XWOPZW01 Grading</v>
      </c>
      <c r="C118" s="7" t="s">
        <v>1116</v>
      </c>
      <c r="D118" s="7">
        <v>3</v>
      </c>
      <c r="E118" s="7" t="s">
        <v>1465</v>
      </c>
      <c r="F118" s="7" t="s">
        <v>50</v>
      </c>
      <c r="H118" s="7" t="s">
        <v>1162</v>
      </c>
      <c r="I118" s="7" t="s">
        <v>1163</v>
      </c>
      <c r="J118" s="7" t="str">
        <f>VLOOKUP(E118,V!A:K,7,FALSE)</f>
        <v>Z</v>
      </c>
      <c r="K118" s="7" t="str">
        <f>VLOOKUP(E118,V!A:K,9,FALSE)</f>
        <v>Z</v>
      </c>
      <c r="L118" s="7">
        <f>VLOOKUP(E118,V!A:K,3,FALSE)</f>
        <v>0.5</v>
      </c>
      <c r="M118" s="7">
        <f>VLOOKUP(E118,V!A:K,4,FALSE)</f>
        <v>1265</v>
      </c>
      <c r="N118" s="7">
        <f>VLOOKUP(E118,V!A:K,5,FALSE)</f>
        <v>2520</v>
      </c>
    </row>
  </sheetData>
  <autoFilter ref="A1:Q118" xr:uid="{00000000-0001-0000-0300-000000000000}"/>
  <phoneticPr fontId="8" type="noConversion"/>
  <dataValidations disablePrompts="1" count="1">
    <dataValidation type="list" allowBlank="1" sqref="C119:C2074" xr:uid="{00000000-0002-0000-0300-000000000000}">
      <formula1>"INPUT,OUTPUT,STEP"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24CE-A55E-48FB-A992-6455B7DC7F6B}">
  <sheetPr>
    <tabColor rgb="FF00B050"/>
    <pageSetUpPr fitToPage="1"/>
  </sheetPr>
  <dimension ref="A1:N61"/>
  <sheetViews>
    <sheetView zoomScale="160" zoomScaleNormal="160" workbookViewId="0">
      <pane xSplit="1" ySplit="1" topLeftCell="B26" activePane="bottomRight" state="frozen"/>
      <selection activeCell="A2" sqref="A2"/>
      <selection pane="topRight" activeCell="A2" sqref="A2"/>
      <selection pane="bottomLeft" activeCell="A2" sqref="A2"/>
      <selection pane="bottomRight" activeCell="A15" sqref="A15"/>
    </sheetView>
  </sheetViews>
  <sheetFormatPr defaultColWidth="16.44140625" defaultRowHeight="13.2"/>
  <cols>
    <col min="1" max="1" width="10.5546875" style="55" customWidth="1"/>
    <col min="2" max="2" width="19.33203125" style="55" customWidth="1"/>
    <col min="3" max="3" width="9.44140625" style="55" customWidth="1"/>
    <col min="4" max="4" width="13.33203125" style="55" customWidth="1"/>
    <col min="5" max="5" width="9" style="55" customWidth="1"/>
    <col min="6" max="6" width="10" style="55" customWidth="1"/>
    <col min="7" max="7" width="9" style="55" customWidth="1"/>
    <col min="8" max="8" width="10" style="55" customWidth="1"/>
    <col min="9" max="9" width="4.33203125" style="55" customWidth="1"/>
    <col min="10" max="10" width="8.109375" style="55" customWidth="1"/>
    <col min="11" max="11" width="43.88671875" style="55" customWidth="1"/>
    <col min="12" max="16361" width="16.44140625" style="55" customWidth="1"/>
    <col min="16362" max="16384" width="16.44140625" style="55"/>
  </cols>
  <sheetData>
    <row r="1" spans="1:14" s="54" customFormat="1" ht="30" customHeight="1">
      <c r="A1" s="53" t="s">
        <v>2587</v>
      </c>
      <c r="B1" s="53" t="s">
        <v>2588</v>
      </c>
      <c r="C1" s="53" t="s">
        <v>2589</v>
      </c>
      <c r="D1" s="53" t="s">
        <v>2590</v>
      </c>
      <c r="E1" s="53" t="s">
        <v>2591</v>
      </c>
      <c r="F1" s="53" t="s">
        <v>2592</v>
      </c>
      <c r="G1" s="53" t="s">
        <v>2593</v>
      </c>
      <c r="H1" s="53" t="s">
        <v>2594</v>
      </c>
      <c r="I1" s="53" t="s">
        <v>2595</v>
      </c>
      <c r="J1" s="53" t="s">
        <v>2596</v>
      </c>
      <c r="K1" s="53" t="s">
        <v>2688</v>
      </c>
    </row>
    <row r="2" spans="1:14">
      <c r="A2" s="55" t="s">
        <v>2597</v>
      </c>
      <c r="B2" s="55" t="s">
        <v>2598</v>
      </c>
      <c r="C2" s="55" t="s">
        <v>2599</v>
      </c>
      <c r="D2" s="55">
        <v>2.9</v>
      </c>
      <c r="E2" s="55">
        <v>24.5</v>
      </c>
      <c r="F2" s="55">
        <v>80.5</v>
      </c>
      <c r="G2" s="55">
        <v>620</v>
      </c>
      <c r="H2" s="55">
        <v>2045</v>
      </c>
      <c r="I2" s="55" t="s">
        <v>1224</v>
      </c>
      <c r="J2" s="55" t="s">
        <v>2600</v>
      </c>
      <c r="K2" s="55" t="str">
        <f>C2&amp;" "&amp;D2&amp;"mm"&amp;""&amp;"*"&amp;E2&amp;"*"&amp;F2&amp;" "&amp;J2&amp;" "&amp;B2</f>
        <v>MDF 2.9mm*24.5*80.5 CARB P2 Standard Primed</v>
      </c>
    </row>
    <row r="3" spans="1:14">
      <c r="A3" s="55" t="s">
        <v>2601</v>
      </c>
      <c r="B3" s="55" t="s">
        <v>2598</v>
      </c>
      <c r="C3" s="55" t="s">
        <v>2599</v>
      </c>
      <c r="D3" s="55">
        <v>2.9</v>
      </c>
      <c r="E3" s="55">
        <v>28.5</v>
      </c>
      <c r="F3" s="55">
        <v>80.5</v>
      </c>
      <c r="G3" s="55">
        <v>724</v>
      </c>
      <c r="H3" s="55">
        <v>2045</v>
      </c>
      <c r="I3" s="55" t="s">
        <v>1224</v>
      </c>
      <c r="J3" s="55" t="s">
        <v>2600</v>
      </c>
      <c r="K3" s="55" t="str">
        <f t="shared" ref="K3:K61" si="0">C3&amp;" "&amp;D3&amp;"mm"&amp;""&amp;"*"&amp;E3&amp;"*"&amp;F3&amp;" "&amp;J3&amp;" "&amp;B3</f>
        <v>MDF 2.9mm*28.5*80.5 CARB P2 Standard Primed</v>
      </c>
    </row>
    <row r="4" spans="1:14">
      <c r="A4" s="55" t="s">
        <v>2602</v>
      </c>
      <c r="B4" s="55" t="s">
        <v>2598</v>
      </c>
      <c r="C4" s="55" t="s">
        <v>2599</v>
      </c>
      <c r="D4" s="55">
        <v>2.9</v>
      </c>
      <c r="E4" s="55">
        <v>30.5</v>
      </c>
      <c r="F4" s="55">
        <v>80.5</v>
      </c>
      <c r="G4" s="55">
        <v>775</v>
      </c>
      <c r="H4" s="55">
        <v>2045</v>
      </c>
      <c r="I4" s="55" t="s">
        <v>1224</v>
      </c>
      <c r="J4" s="55" t="s">
        <v>2600</v>
      </c>
      <c r="K4" s="55" t="str">
        <f t="shared" si="0"/>
        <v>MDF 2.9mm*30.5*80.5 CARB P2 Standard Primed</v>
      </c>
    </row>
    <row r="5" spans="1:14">
      <c r="A5" s="55" t="s">
        <v>2603</v>
      </c>
      <c r="B5" s="55" t="s">
        <v>2598</v>
      </c>
      <c r="C5" s="55" t="s">
        <v>2599</v>
      </c>
      <c r="D5" s="55">
        <v>2.9</v>
      </c>
      <c r="E5" s="55">
        <v>32.5</v>
      </c>
      <c r="F5" s="55">
        <v>80.5</v>
      </c>
      <c r="G5" s="55">
        <v>826</v>
      </c>
      <c r="H5" s="55">
        <v>2045</v>
      </c>
      <c r="I5" s="55" t="s">
        <v>1224</v>
      </c>
      <c r="J5" s="55" t="s">
        <v>2600</v>
      </c>
      <c r="K5" s="55" t="str">
        <f t="shared" si="0"/>
        <v>MDF 2.9mm*32.5*80.5 CARB P2 Standard Primed</v>
      </c>
    </row>
    <row r="6" spans="1:14">
      <c r="A6" s="55" t="s">
        <v>2604</v>
      </c>
      <c r="B6" s="55" t="s">
        <v>2598</v>
      </c>
      <c r="C6" s="55" t="s">
        <v>2599</v>
      </c>
      <c r="D6" s="55">
        <v>2.9</v>
      </c>
      <c r="E6" s="55">
        <v>36.5</v>
      </c>
      <c r="F6" s="55">
        <v>80.5</v>
      </c>
      <c r="G6" s="55">
        <v>927</v>
      </c>
      <c r="H6" s="55">
        <v>2045</v>
      </c>
      <c r="I6" s="55" t="s">
        <v>1224</v>
      </c>
      <c r="J6" s="55" t="s">
        <v>2600</v>
      </c>
      <c r="K6" s="55" t="str">
        <f t="shared" si="0"/>
        <v>MDF 2.9mm*36.5*80.5 CARB P2 Standard Primed</v>
      </c>
    </row>
    <row r="7" spans="1:14">
      <c r="A7" s="55" t="s">
        <v>2605</v>
      </c>
      <c r="B7" s="55" t="s">
        <v>2598</v>
      </c>
      <c r="C7" s="55" t="s">
        <v>2599</v>
      </c>
      <c r="D7" s="55">
        <v>2.9</v>
      </c>
      <c r="E7" s="55">
        <v>36.5</v>
      </c>
      <c r="F7" s="55">
        <v>84.5</v>
      </c>
      <c r="G7" s="55">
        <v>927</v>
      </c>
      <c r="H7" s="55">
        <v>2145</v>
      </c>
      <c r="I7" s="55" t="s">
        <v>1224</v>
      </c>
      <c r="J7" s="55" t="s">
        <v>2600</v>
      </c>
      <c r="K7" s="55" t="str">
        <f t="shared" si="0"/>
        <v>MDF 2.9mm*36.5*84.5 CARB P2 Standard Primed</v>
      </c>
    </row>
    <row r="8" spans="1:14">
      <c r="A8" s="55" t="s">
        <v>2606</v>
      </c>
      <c r="B8" s="55" t="s">
        <v>2598</v>
      </c>
      <c r="C8" s="55" t="s">
        <v>2599</v>
      </c>
      <c r="D8" s="55">
        <v>2.9</v>
      </c>
      <c r="E8" s="55">
        <v>36.5</v>
      </c>
      <c r="F8" s="55">
        <v>96.5</v>
      </c>
      <c r="G8" s="55">
        <v>927</v>
      </c>
      <c r="H8" s="55">
        <v>2452</v>
      </c>
      <c r="I8" s="55" t="s">
        <v>1224</v>
      </c>
      <c r="J8" s="55" t="s">
        <v>2600</v>
      </c>
      <c r="K8" s="55" t="str">
        <f t="shared" si="0"/>
        <v>MDF 2.9mm*36.5*96.5 CARB P2 Standard Primed</v>
      </c>
    </row>
    <row r="9" spans="1:14">
      <c r="A9" s="55" t="s">
        <v>2607</v>
      </c>
      <c r="B9" s="55" t="s">
        <v>2598</v>
      </c>
      <c r="C9" s="55" t="s">
        <v>2599</v>
      </c>
      <c r="D9" s="55">
        <v>2.9</v>
      </c>
      <c r="E9" s="55">
        <v>48.5</v>
      </c>
      <c r="F9" s="55">
        <v>96.5</v>
      </c>
      <c r="G9" s="55">
        <v>1232</v>
      </c>
      <c r="H9" s="55">
        <v>2452</v>
      </c>
      <c r="I9" s="55" t="s">
        <v>1224</v>
      </c>
      <c r="J9" s="55" t="s">
        <v>2600</v>
      </c>
      <c r="K9" s="55" t="str">
        <f t="shared" si="0"/>
        <v>MDF 2.9mm*48.5*96.5 CARB P2 Standard Primed</v>
      </c>
      <c r="M9" s="55" t="s">
        <v>2608</v>
      </c>
      <c r="N9" s="55" t="s">
        <v>2609</v>
      </c>
    </row>
    <row r="10" spans="1:14">
      <c r="A10" s="55" t="s">
        <v>2583</v>
      </c>
      <c r="B10" s="55" t="s">
        <v>2598</v>
      </c>
      <c r="C10" s="55" t="s">
        <v>2599</v>
      </c>
      <c r="D10" s="55">
        <v>3</v>
      </c>
      <c r="E10" s="55">
        <v>24.5</v>
      </c>
      <c r="F10" s="55">
        <v>80.5</v>
      </c>
      <c r="G10" s="56">
        <v>620</v>
      </c>
      <c r="H10" s="56">
        <v>2045</v>
      </c>
      <c r="I10" s="55" t="s">
        <v>1224</v>
      </c>
      <c r="J10" s="55" t="s">
        <v>2600</v>
      </c>
      <c r="K10" s="55" t="str">
        <f t="shared" si="0"/>
        <v>MDF 3mm*24.5*80.5 CARB P2 Standard Primed</v>
      </c>
      <c r="L10" s="57">
        <f>H10*G10/1000000</f>
        <v>1.2679</v>
      </c>
      <c r="M10" s="55">
        <f>1.27*2</f>
        <v>2.54</v>
      </c>
      <c r="N10" s="58">
        <f>M10/L10</f>
        <v>2.003312564082341</v>
      </c>
    </row>
    <row r="11" spans="1:14">
      <c r="A11" s="55" t="s">
        <v>2585</v>
      </c>
      <c r="B11" s="55" t="s">
        <v>2598</v>
      </c>
      <c r="C11" s="55" t="s">
        <v>2599</v>
      </c>
      <c r="D11" s="55">
        <v>3</v>
      </c>
      <c r="E11" s="55">
        <v>28.5</v>
      </c>
      <c r="F11" s="55">
        <v>80.5</v>
      </c>
      <c r="G11" s="55">
        <v>724</v>
      </c>
      <c r="H11" s="55">
        <v>2045</v>
      </c>
      <c r="I11" s="55" t="s">
        <v>1224</v>
      </c>
      <c r="J11" s="55" t="s">
        <v>2600</v>
      </c>
      <c r="K11" s="55" t="str">
        <f t="shared" si="0"/>
        <v>MDF 3mm*28.5*80.5 CARB P2 Standard Primed</v>
      </c>
      <c r="L11" s="57"/>
      <c r="N11" s="58"/>
    </row>
    <row r="12" spans="1:14">
      <c r="A12" s="55" t="s">
        <v>2582</v>
      </c>
      <c r="B12" s="55" t="s">
        <v>2598</v>
      </c>
      <c r="C12" s="55" t="s">
        <v>2599</v>
      </c>
      <c r="D12" s="55">
        <v>3</v>
      </c>
      <c r="E12" s="55">
        <v>30.5</v>
      </c>
      <c r="F12" s="55">
        <v>80.5</v>
      </c>
      <c r="G12" s="55">
        <v>775</v>
      </c>
      <c r="H12" s="55">
        <v>2045</v>
      </c>
      <c r="I12" s="55" t="s">
        <v>1224</v>
      </c>
      <c r="J12" s="55" t="s">
        <v>2600</v>
      </c>
      <c r="K12" s="55" t="str">
        <f t="shared" si="0"/>
        <v>MDF 3mm*30.5*80.5 CARB P2 Standard Primed</v>
      </c>
      <c r="L12" s="57"/>
      <c r="N12" s="58"/>
    </row>
    <row r="13" spans="1:14">
      <c r="A13" s="55" t="s">
        <v>2581</v>
      </c>
      <c r="B13" s="55" t="s">
        <v>2598</v>
      </c>
      <c r="C13" s="55" t="s">
        <v>2599</v>
      </c>
      <c r="D13" s="55">
        <v>3</v>
      </c>
      <c r="E13" s="55">
        <v>32.5</v>
      </c>
      <c r="F13" s="55">
        <v>80.5</v>
      </c>
      <c r="G13" s="55">
        <v>826</v>
      </c>
      <c r="H13" s="55">
        <v>2045</v>
      </c>
      <c r="I13" s="55" t="s">
        <v>1224</v>
      </c>
      <c r="J13" s="55" t="s">
        <v>2600</v>
      </c>
      <c r="K13" s="55" t="str">
        <f t="shared" si="0"/>
        <v>MDF 3mm*32.5*80.5 CARB P2 Standard Primed</v>
      </c>
      <c r="L13" s="57"/>
      <c r="N13" s="58"/>
    </row>
    <row r="14" spans="1:14">
      <c r="A14" s="55" t="s">
        <v>2610</v>
      </c>
      <c r="B14" s="55" t="s">
        <v>2598</v>
      </c>
      <c r="C14" s="55" t="s">
        <v>2599</v>
      </c>
      <c r="D14" s="58">
        <v>3</v>
      </c>
      <c r="E14" s="55">
        <v>30.5</v>
      </c>
      <c r="F14" s="55">
        <v>84.5</v>
      </c>
      <c r="G14" s="55">
        <v>775</v>
      </c>
      <c r="H14" s="55">
        <v>2145</v>
      </c>
      <c r="I14" s="55" t="s">
        <v>1224</v>
      </c>
      <c r="J14" s="55" t="s">
        <v>2600</v>
      </c>
      <c r="K14" s="55" t="str">
        <f t="shared" si="0"/>
        <v>MDF 3mm*30.5*84.5 CARB P2 Standard Primed</v>
      </c>
      <c r="L14" s="57"/>
      <c r="N14" s="58"/>
    </row>
    <row r="15" spans="1:14">
      <c r="A15" s="55" t="s">
        <v>2580</v>
      </c>
      <c r="B15" s="55" t="s">
        <v>2598</v>
      </c>
      <c r="C15" s="55" t="s">
        <v>2599</v>
      </c>
      <c r="D15" s="55">
        <v>3</v>
      </c>
      <c r="E15" s="55">
        <v>36.5</v>
      </c>
      <c r="F15" s="55">
        <v>80.5</v>
      </c>
      <c r="G15" s="56">
        <v>927</v>
      </c>
      <c r="H15" s="56">
        <v>2045</v>
      </c>
      <c r="I15" s="55" t="s">
        <v>1224</v>
      </c>
      <c r="J15" s="55" t="s">
        <v>2600</v>
      </c>
      <c r="K15" s="55" t="str">
        <f t="shared" si="0"/>
        <v>MDF 3mm*36.5*80.5 CARB P2 Standard Primed</v>
      </c>
      <c r="L15" s="57">
        <f>H15*G15/1000000</f>
        <v>1.895715</v>
      </c>
      <c r="M15" s="55">
        <f>1.9*2</f>
        <v>3.8</v>
      </c>
      <c r="N15" s="58">
        <f>M15/L15</f>
        <v>2.0045207217329608</v>
      </c>
    </row>
    <row r="16" spans="1:14">
      <c r="A16" s="55" t="s">
        <v>2586</v>
      </c>
      <c r="B16" s="55" t="s">
        <v>2598</v>
      </c>
      <c r="C16" s="55" t="s">
        <v>2599</v>
      </c>
      <c r="D16" s="55">
        <v>3</v>
      </c>
      <c r="E16" s="55">
        <v>36.5</v>
      </c>
      <c r="F16" s="55">
        <v>84.5</v>
      </c>
      <c r="G16" s="55">
        <v>927</v>
      </c>
      <c r="H16" s="55">
        <v>2145</v>
      </c>
      <c r="I16" s="55" t="s">
        <v>1224</v>
      </c>
      <c r="J16" s="55" t="s">
        <v>2600</v>
      </c>
      <c r="K16" s="55" t="str">
        <f t="shared" si="0"/>
        <v>MDF 3mm*36.5*84.5 CARB P2 Standard Primed</v>
      </c>
    </row>
    <row r="17" spans="1:12">
      <c r="A17" s="55" t="s">
        <v>2584</v>
      </c>
      <c r="B17" s="55" t="s">
        <v>2598</v>
      </c>
      <c r="C17" s="55" t="s">
        <v>2599</v>
      </c>
      <c r="D17" s="55">
        <v>3</v>
      </c>
      <c r="E17" s="55">
        <v>36.5</v>
      </c>
      <c r="F17" s="55">
        <v>96.5</v>
      </c>
      <c r="G17" s="55">
        <v>927</v>
      </c>
      <c r="H17" s="55">
        <v>2452</v>
      </c>
      <c r="I17" s="55" t="s">
        <v>1224</v>
      </c>
      <c r="J17" s="55" t="s">
        <v>2600</v>
      </c>
      <c r="K17" s="55" t="str">
        <f t="shared" si="0"/>
        <v>MDF 3mm*36.5*96.5 CARB P2 Standard Primed</v>
      </c>
    </row>
    <row r="18" spans="1:12">
      <c r="A18" s="55" t="s">
        <v>2611</v>
      </c>
      <c r="B18" s="55" t="s">
        <v>2598</v>
      </c>
      <c r="C18" s="55" t="s">
        <v>2599</v>
      </c>
      <c r="D18" s="55">
        <v>3</v>
      </c>
      <c r="E18" s="55">
        <v>48.5</v>
      </c>
      <c r="F18" s="55">
        <v>96.5</v>
      </c>
      <c r="G18" s="55">
        <v>1232</v>
      </c>
      <c r="H18" s="55">
        <v>2452</v>
      </c>
      <c r="I18" s="55" t="s">
        <v>1224</v>
      </c>
      <c r="J18" s="55" t="s">
        <v>2600</v>
      </c>
      <c r="K18" s="55" t="str">
        <f t="shared" si="0"/>
        <v>MDF 3mm*48.5*96.5 CARB P2 Standard Primed</v>
      </c>
    </row>
    <row r="19" spans="1:12">
      <c r="A19" s="55" t="s">
        <v>2576</v>
      </c>
      <c r="B19" s="55" t="s">
        <v>2612</v>
      </c>
      <c r="C19" s="55" t="s">
        <v>2599</v>
      </c>
      <c r="D19" s="55">
        <v>3</v>
      </c>
      <c r="G19" s="55">
        <v>730</v>
      </c>
      <c r="H19" s="55">
        <v>2050</v>
      </c>
      <c r="I19" s="55" t="s">
        <v>1224</v>
      </c>
      <c r="J19" s="55" t="s">
        <v>2600</v>
      </c>
      <c r="K19" s="55" t="str">
        <f>C19&amp;" "&amp;D19&amp;"mm"&amp;""&amp;"*"&amp;G19&amp;"*"&amp;H19&amp;" "&amp;J19&amp;" "&amp;B19</f>
        <v xml:space="preserve">MDF 3mm*730*2050 CARB P2 UV prime </v>
      </c>
    </row>
    <row r="20" spans="1:12">
      <c r="A20" s="55" t="s">
        <v>2577</v>
      </c>
      <c r="B20" s="55" t="s">
        <v>2612</v>
      </c>
      <c r="C20" s="55" t="s">
        <v>2599</v>
      </c>
      <c r="D20" s="55">
        <v>3</v>
      </c>
      <c r="G20" s="55">
        <v>780</v>
      </c>
      <c r="H20" s="55">
        <v>2050</v>
      </c>
      <c r="I20" s="55" t="s">
        <v>1224</v>
      </c>
      <c r="J20" s="55" t="s">
        <v>2600</v>
      </c>
      <c r="K20" s="55" t="str">
        <f t="shared" ref="K20:K23" si="1">C20&amp;" "&amp;D20&amp;"mm"&amp;""&amp;"*"&amp;G20&amp;"*"&amp;H20&amp;" "&amp;J20&amp;" "&amp;B20</f>
        <v xml:space="preserve">MDF 3mm*780*2050 CARB P2 UV prime </v>
      </c>
    </row>
    <row r="21" spans="1:12">
      <c r="A21" s="55" t="s">
        <v>2579</v>
      </c>
      <c r="B21" s="55" t="s">
        <v>2612</v>
      </c>
      <c r="C21" s="55" t="s">
        <v>2599</v>
      </c>
      <c r="D21" s="55">
        <v>3</v>
      </c>
      <c r="G21" s="55">
        <v>880</v>
      </c>
      <c r="H21" s="55">
        <v>2050</v>
      </c>
      <c r="I21" s="55" t="s">
        <v>1224</v>
      </c>
      <c r="J21" s="55" t="s">
        <v>2600</v>
      </c>
      <c r="K21" s="55" t="str">
        <f t="shared" si="1"/>
        <v xml:space="preserve">MDF 3mm*880*2050 CARB P2 UV prime </v>
      </c>
    </row>
    <row r="22" spans="1:12">
      <c r="A22" s="55" t="s">
        <v>2613</v>
      </c>
      <c r="B22" s="55" t="s">
        <v>2612</v>
      </c>
      <c r="C22" s="55" t="s">
        <v>2599</v>
      </c>
      <c r="D22" s="55">
        <v>3</v>
      </c>
      <c r="G22" s="55">
        <v>930</v>
      </c>
      <c r="H22" s="55">
        <v>2050</v>
      </c>
      <c r="I22" s="55" t="s">
        <v>1224</v>
      </c>
      <c r="J22" s="55" t="s">
        <v>2600</v>
      </c>
      <c r="K22" s="55" t="str">
        <f t="shared" si="1"/>
        <v xml:space="preserve">MDF 3mm*930*2050 CARB P2 UV prime </v>
      </c>
    </row>
    <row r="23" spans="1:12">
      <c r="A23" s="55" t="s">
        <v>2578</v>
      </c>
      <c r="B23" s="55" t="s">
        <v>2612</v>
      </c>
      <c r="C23" s="55" t="s">
        <v>2599</v>
      </c>
      <c r="D23" s="55">
        <v>3</v>
      </c>
      <c r="G23" s="55">
        <v>830</v>
      </c>
      <c r="H23" s="55">
        <v>2050</v>
      </c>
      <c r="I23" s="55" t="s">
        <v>1224</v>
      </c>
      <c r="J23" s="55" t="s">
        <v>2600</v>
      </c>
      <c r="K23" s="55" t="str">
        <f t="shared" si="1"/>
        <v xml:space="preserve">MDF 3mm*830*2050 CARB P2 UV prime </v>
      </c>
    </row>
    <row r="24" spans="1:12">
      <c r="A24" s="55" t="s">
        <v>2614</v>
      </c>
      <c r="B24" s="55" t="s">
        <v>2612</v>
      </c>
      <c r="C24" s="55" t="s">
        <v>2599</v>
      </c>
      <c r="D24" s="55">
        <v>3</v>
      </c>
      <c r="E24" s="55">
        <v>48.5</v>
      </c>
      <c r="F24" s="55">
        <v>96.5</v>
      </c>
      <c r="G24" s="55">
        <v>1245</v>
      </c>
      <c r="H24" s="55">
        <v>2465</v>
      </c>
      <c r="I24" s="55" t="s">
        <v>1224</v>
      </c>
      <c r="J24" s="55" t="s">
        <v>2600</v>
      </c>
      <c r="K24" s="55" t="str">
        <f t="shared" si="0"/>
        <v xml:space="preserve">MDF 3mm*48.5*96.5 CARB P2 UV prime </v>
      </c>
    </row>
    <row r="25" spans="1:12">
      <c r="A25" s="55" t="s">
        <v>2615</v>
      </c>
      <c r="B25" s="55" t="s">
        <v>2616</v>
      </c>
      <c r="C25" s="55" t="s">
        <v>2617</v>
      </c>
      <c r="D25" s="55">
        <v>19</v>
      </c>
      <c r="E25" s="55">
        <v>48.5</v>
      </c>
      <c r="F25" s="55">
        <v>96.5</v>
      </c>
      <c r="G25" s="55">
        <v>1232</v>
      </c>
      <c r="H25" s="55">
        <v>2452</v>
      </c>
      <c r="I25" s="55" t="s">
        <v>1224</v>
      </c>
      <c r="J25" s="55" t="s">
        <v>2600</v>
      </c>
      <c r="K25" s="55" t="str">
        <f t="shared" si="0"/>
        <v>FG 19mm*48.5*96.5 CARB P2 UV</v>
      </c>
      <c r="L25" s="59" t="s">
        <v>2618</v>
      </c>
    </row>
    <row r="26" spans="1:12">
      <c r="A26" s="55" t="s">
        <v>2619</v>
      </c>
      <c r="B26" s="55" t="s">
        <v>2598</v>
      </c>
      <c r="C26" s="55" t="s">
        <v>2599</v>
      </c>
      <c r="D26" s="55">
        <v>3</v>
      </c>
      <c r="E26" s="55">
        <v>24.5</v>
      </c>
      <c r="F26" s="55">
        <v>96.5</v>
      </c>
      <c r="G26" s="55">
        <v>620</v>
      </c>
      <c r="H26" s="55">
        <v>2452</v>
      </c>
      <c r="I26" s="55" t="s">
        <v>1224</v>
      </c>
      <c r="J26" s="55" t="s">
        <v>2600</v>
      </c>
      <c r="K26" s="55" t="str">
        <f t="shared" si="0"/>
        <v>MDF 3mm*24.5*96.5 CARB P2 Standard Primed</v>
      </c>
    </row>
    <row r="27" spans="1:12">
      <c r="B27" s="55" t="s">
        <v>2612</v>
      </c>
      <c r="C27" s="55" t="s">
        <v>2620</v>
      </c>
      <c r="E27" s="55">
        <v>48.4</v>
      </c>
      <c r="F27" s="55">
        <v>120.4</v>
      </c>
      <c r="G27" s="55">
        <v>1230</v>
      </c>
      <c r="H27" s="55">
        <v>3060</v>
      </c>
      <c r="I27" s="55" t="s">
        <v>1224</v>
      </c>
      <c r="J27" s="55" t="s">
        <v>2600</v>
      </c>
      <c r="K27" s="55" t="str">
        <f t="shared" si="0"/>
        <v xml:space="preserve">Platform MLH mm*48.4*120.4 CARB P2 UV prime </v>
      </c>
    </row>
    <row r="28" spans="1:12">
      <c r="B28" s="55" t="s">
        <v>2612</v>
      </c>
      <c r="C28" s="55" t="s">
        <v>2599</v>
      </c>
      <c r="D28" s="55">
        <v>3</v>
      </c>
      <c r="G28" s="55">
        <v>927</v>
      </c>
      <c r="H28" s="55">
        <v>2050</v>
      </c>
      <c r="I28" s="55" t="s">
        <v>1224</v>
      </c>
      <c r="J28" s="55" t="s">
        <v>2600</v>
      </c>
      <c r="K28" s="55" t="str">
        <f t="shared" si="0"/>
        <v xml:space="preserve">MDF 3mm** CARB P2 UV prime </v>
      </c>
    </row>
    <row r="29" spans="1:12">
      <c r="A29" s="55" t="s">
        <v>2621</v>
      </c>
      <c r="B29" s="55" t="s">
        <v>2622</v>
      </c>
      <c r="C29" s="55" t="s">
        <v>2623</v>
      </c>
      <c r="D29" s="55">
        <v>19</v>
      </c>
      <c r="E29" s="55">
        <v>48.5</v>
      </c>
      <c r="F29" s="55">
        <v>96.5</v>
      </c>
      <c r="G29" s="55">
        <v>1232</v>
      </c>
      <c r="H29" s="55">
        <v>2452</v>
      </c>
      <c r="I29" s="55" t="s">
        <v>1224</v>
      </c>
      <c r="J29" s="55" t="s">
        <v>2600</v>
      </c>
      <c r="K29" s="55" t="str">
        <f t="shared" si="0"/>
        <v>VCMX 19mm*48.5*96.5 CARB P2 W.BIRCH C UV/UV PRIMED</v>
      </c>
      <c r="L29" s="55" t="s">
        <v>2624</v>
      </c>
    </row>
    <row r="30" spans="1:12">
      <c r="A30" s="55" t="s">
        <v>2625</v>
      </c>
      <c r="B30" s="55" t="s">
        <v>2626</v>
      </c>
      <c r="C30" s="55" t="s">
        <v>2623</v>
      </c>
      <c r="D30" s="55">
        <v>19</v>
      </c>
      <c r="E30" s="55">
        <v>48.5</v>
      </c>
      <c r="F30" s="55">
        <v>96.5</v>
      </c>
      <c r="G30" s="55">
        <v>1232</v>
      </c>
      <c r="H30" s="55">
        <v>2452</v>
      </c>
      <c r="I30" s="55" t="s">
        <v>1224</v>
      </c>
      <c r="J30" s="55" t="s">
        <v>2600</v>
      </c>
      <c r="K30" s="55" t="str">
        <f t="shared" si="0"/>
        <v>VCMX 19mm*48.5*96.5 CARB P2 UV PRIMED/UV PRIMED</v>
      </c>
      <c r="L30" s="55" t="s">
        <v>2624</v>
      </c>
    </row>
    <row r="31" spans="1:12">
      <c r="A31" s="55" t="s">
        <v>2627</v>
      </c>
      <c r="B31" s="55" t="s">
        <v>2628</v>
      </c>
      <c r="C31" s="55" t="s">
        <v>2629</v>
      </c>
      <c r="D31" s="55">
        <v>19</v>
      </c>
      <c r="E31" s="55">
        <v>48.5</v>
      </c>
      <c r="F31" s="55">
        <v>96.5</v>
      </c>
      <c r="G31" s="55">
        <v>1232</v>
      </c>
      <c r="H31" s="55">
        <v>2452</v>
      </c>
      <c r="I31" s="55" t="s">
        <v>1224</v>
      </c>
      <c r="J31" s="55" t="s">
        <v>2600</v>
      </c>
      <c r="K31" s="55" t="str">
        <f t="shared" si="0"/>
        <v>Platform JS 19mm*48.5*96.5 CARB P2 W.MAPLE  B UV / #2 UV</v>
      </c>
      <c r="L31" s="55" t="s">
        <v>2624</v>
      </c>
    </row>
    <row r="32" spans="1:12">
      <c r="A32" s="55" t="s">
        <v>2630</v>
      </c>
      <c r="B32" s="55" t="s">
        <v>2631</v>
      </c>
      <c r="C32" s="55" t="s">
        <v>2632</v>
      </c>
      <c r="D32" s="55">
        <v>19</v>
      </c>
      <c r="E32" s="55">
        <v>48.5</v>
      </c>
      <c r="F32" s="55">
        <v>96.5</v>
      </c>
      <c r="G32" s="55">
        <v>1232</v>
      </c>
      <c r="H32" s="55">
        <v>2452</v>
      </c>
      <c r="I32" s="55" t="s">
        <v>1224</v>
      </c>
      <c r="J32" s="55" t="s">
        <v>2600</v>
      </c>
      <c r="K32" s="55" t="str">
        <f t="shared" si="0"/>
        <v xml:space="preserve">PlatformJS 19mm*48.5*96.5 CARB P2 W.MAPLE  B UV / #2 </v>
      </c>
      <c r="L32" s="55" t="s">
        <v>2624</v>
      </c>
    </row>
    <row r="33" spans="1:12">
      <c r="A33" s="55" t="s">
        <v>2633</v>
      </c>
      <c r="B33" s="55" t="s">
        <v>2634</v>
      </c>
      <c r="C33" s="55" t="s">
        <v>2632</v>
      </c>
      <c r="D33" s="55">
        <v>19</v>
      </c>
      <c r="E33" s="55">
        <v>48.5</v>
      </c>
      <c r="F33" s="55">
        <v>96.5</v>
      </c>
      <c r="G33" s="55">
        <v>1232</v>
      </c>
      <c r="H33" s="55">
        <v>2452</v>
      </c>
      <c r="I33" s="55" t="s">
        <v>1224</v>
      </c>
      <c r="J33" s="55" t="s">
        <v>2600</v>
      </c>
      <c r="K33" s="55" t="str">
        <f t="shared" si="0"/>
        <v xml:space="preserve">PlatformJS 19mm*48.5*96.5 CARB P2 W.BIRCH  C UV / D UV </v>
      </c>
      <c r="L33" s="55" t="s">
        <v>2624</v>
      </c>
    </row>
    <row r="34" spans="1:12">
      <c r="A34" s="55" t="s">
        <v>428</v>
      </c>
      <c r="B34" s="55" t="s">
        <v>2635</v>
      </c>
      <c r="C34" s="55" t="s">
        <v>2632</v>
      </c>
      <c r="D34" s="55">
        <v>19</v>
      </c>
      <c r="E34" s="55">
        <v>48.5</v>
      </c>
      <c r="F34" s="55">
        <v>96.5</v>
      </c>
      <c r="G34" s="55">
        <v>1232</v>
      </c>
      <c r="H34" s="55">
        <v>2452</v>
      </c>
      <c r="I34" s="55" t="s">
        <v>1224</v>
      </c>
      <c r="J34" s="55" t="s">
        <v>2600</v>
      </c>
      <c r="K34" s="55" t="str">
        <f t="shared" si="0"/>
        <v xml:space="preserve">PlatformJS 19mm*48.5*96.5 CARB P2 W.BIRCH  D+ UV / D UV </v>
      </c>
      <c r="L34" s="55" t="s">
        <v>2624</v>
      </c>
    </row>
    <row r="35" spans="1:12">
      <c r="A35" s="55" t="s">
        <v>2636</v>
      </c>
      <c r="B35" s="55" t="s">
        <v>2626</v>
      </c>
      <c r="C35" s="55" t="s">
        <v>2623</v>
      </c>
      <c r="D35" s="55">
        <v>12.5</v>
      </c>
      <c r="E35" s="55">
        <v>48.5</v>
      </c>
      <c r="F35" s="55">
        <v>96.5</v>
      </c>
      <c r="G35" s="55">
        <v>1232</v>
      </c>
      <c r="H35" s="55">
        <v>2452</v>
      </c>
      <c r="I35" s="55" t="s">
        <v>1224</v>
      </c>
      <c r="J35" s="55" t="s">
        <v>2600</v>
      </c>
      <c r="K35" s="55" t="str">
        <f t="shared" si="0"/>
        <v>VCMX 12.5mm*48.5*96.5 CARB P2 UV PRIMED/UV PRIMED</v>
      </c>
      <c r="L35" s="55" t="s">
        <v>2624</v>
      </c>
    </row>
    <row r="36" spans="1:12">
      <c r="A36" s="55" t="s">
        <v>2637</v>
      </c>
      <c r="B36" s="55" t="s">
        <v>2626</v>
      </c>
      <c r="C36" s="55" t="s">
        <v>2623</v>
      </c>
      <c r="D36" s="55">
        <v>12.5</v>
      </c>
      <c r="E36" s="55">
        <v>48.5</v>
      </c>
      <c r="F36" s="55">
        <v>120.5</v>
      </c>
      <c r="G36" s="55">
        <v>1232</v>
      </c>
      <c r="H36" s="55">
        <v>3060</v>
      </c>
      <c r="I36" s="55" t="s">
        <v>1224</v>
      </c>
      <c r="J36" s="55" t="s">
        <v>2600</v>
      </c>
      <c r="K36" s="55" t="str">
        <f t="shared" si="0"/>
        <v>VCMX 12.5mm*48.5*120.5 CARB P2 UV PRIMED/UV PRIMED</v>
      </c>
      <c r="L36" s="55" t="s">
        <v>2624</v>
      </c>
    </row>
    <row r="37" spans="1:12">
      <c r="A37" s="55" t="s">
        <v>2638</v>
      </c>
      <c r="B37" s="55" t="s">
        <v>2598</v>
      </c>
      <c r="C37" s="55" t="s">
        <v>2599</v>
      </c>
      <c r="D37" s="55">
        <v>3</v>
      </c>
      <c r="E37" s="55">
        <v>24.5</v>
      </c>
      <c r="F37" s="55">
        <v>84.5</v>
      </c>
      <c r="G37" s="55">
        <v>620</v>
      </c>
      <c r="H37" s="55">
        <v>2145</v>
      </c>
      <c r="I37" s="55" t="s">
        <v>1224</v>
      </c>
      <c r="J37" s="55" t="s">
        <v>2600</v>
      </c>
      <c r="K37" s="55" t="str">
        <f t="shared" si="0"/>
        <v>MDF 3mm*24.5*84.5 CARB P2 Standard Primed</v>
      </c>
    </row>
    <row r="38" spans="1:12">
      <c r="A38" s="55" t="s">
        <v>2639</v>
      </c>
      <c r="B38" s="55" t="s">
        <v>2640</v>
      </c>
      <c r="C38" s="55" t="s">
        <v>2632</v>
      </c>
      <c r="D38" s="55">
        <v>19</v>
      </c>
      <c r="E38" s="55">
        <v>48.5</v>
      </c>
      <c r="F38" s="55">
        <v>96.5</v>
      </c>
      <c r="G38" s="55">
        <v>1232</v>
      </c>
      <c r="H38" s="55">
        <v>2452</v>
      </c>
      <c r="I38" s="55" t="s">
        <v>1224</v>
      </c>
      <c r="J38" s="55" t="s">
        <v>2600</v>
      </c>
      <c r="K38" s="55" t="str">
        <f t="shared" si="0"/>
        <v xml:space="preserve">PlatformJS 19mm*48.5*96.5 CARB P2 W.MAPLE  C UV / #2 UV </v>
      </c>
      <c r="L38" s="55" t="s">
        <v>2624</v>
      </c>
    </row>
    <row r="39" spans="1:12">
      <c r="A39" s="56">
        <v>470</v>
      </c>
      <c r="B39" s="55" t="s">
        <v>2598</v>
      </c>
      <c r="C39" s="55" t="s">
        <v>2599</v>
      </c>
      <c r="D39" s="55">
        <v>3</v>
      </c>
      <c r="E39" s="55">
        <v>18.5</v>
      </c>
      <c r="F39" s="55">
        <v>80.5</v>
      </c>
      <c r="G39" s="55">
        <v>470</v>
      </c>
      <c r="H39" s="55">
        <v>2045</v>
      </c>
      <c r="I39" s="55" t="s">
        <v>1224</v>
      </c>
      <c r="J39" s="55" t="s">
        <v>2600</v>
      </c>
      <c r="K39" s="55" t="str">
        <f t="shared" si="0"/>
        <v>MDF 3mm*18.5*80.5 CARB P2 Standard Primed</v>
      </c>
    </row>
    <row r="40" spans="1:12">
      <c r="A40" s="56" t="s">
        <v>2641</v>
      </c>
      <c r="B40" s="55" t="s">
        <v>2598</v>
      </c>
      <c r="C40" s="55" t="s">
        <v>2599</v>
      </c>
      <c r="D40" s="55">
        <v>2.2999999999999998</v>
      </c>
      <c r="E40" s="55">
        <v>24.5</v>
      </c>
      <c r="F40" s="55">
        <v>80.5</v>
      </c>
      <c r="G40" s="55">
        <v>620</v>
      </c>
      <c r="H40" s="55">
        <v>2045</v>
      </c>
      <c r="I40" s="55" t="s">
        <v>1224</v>
      </c>
      <c r="J40" s="55" t="s">
        <v>2600</v>
      </c>
      <c r="K40" s="55" t="str">
        <f t="shared" si="0"/>
        <v>MDF 2.3mm*24.5*80.5 CARB P2 Standard Primed</v>
      </c>
    </row>
    <row r="41" spans="1:12">
      <c r="A41" s="55" t="s">
        <v>2642</v>
      </c>
      <c r="B41" s="55" t="s">
        <v>2643</v>
      </c>
      <c r="C41" s="55" t="s">
        <v>2599</v>
      </c>
      <c r="D41" s="55">
        <v>5.2</v>
      </c>
      <c r="E41" s="55">
        <v>48.5</v>
      </c>
      <c r="F41" s="55">
        <v>96.5</v>
      </c>
      <c r="G41" s="55">
        <v>1232</v>
      </c>
      <c r="H41" s="55">
        <v>2452</v>
      </c>
      <c r="I41" s="55" t="s">
        <v>1224</v>
      </c>
      <c r="J41" s="55" t="s">
        <v>2600</v>
      </c>
      <c r="K41" s="55" t="str">
        <f t="shared" si="0"/>
        <v>MDF 5.2mm*48.5*96.5 CARB P2 W.MAPLE  A UV  /  #3</v>
      </c>
      <c r="L41" s="55" t="s">
        <v>2624</v>
      </c>
    </row>
    <row r="42" spans="1:12">
      <c r="A42" s="55" t="s">
        <v>2644</v>
      </c>
      <c r="B42" s="55" t="s">
        <v>2645</v>
      </c>
      <c r="C42" s="55" t="s">
        <v>2646</v>
      </c>
      <c r="D42" s="55">
        <v>19</v>
      </c>
      <c r="E42" s="55">
        <v>48.5</v>
      </c>
      <c r="F42" s="55">
        <v>96.5</v>
      </c>
      <c r="G42" s="55">
        <v>1232</v>
      </c>
      <c r="H42" s="55">
        <v>2452</v>
      </c>
      <c r="I42" s="55" t="s">
        <v>1224</v>
      </c>
      <c r="J42" s="55" t="s">
        <v>2600</v>
      </c>
      <c r="K42" s="55" t="str">
        <f t="shared" si="0"/>
        <v>PlatformAX 19mm*48.5*96.5 CARB P2 W.MAPLE B UV / #1 UV</v>
      </c>
      <c r="L42" s="55" t="s">
        <v>2624</v>
      </c>
    </row>
    <row r="43" spans="1:12">
      <c r="A43" s="55" t="s">
        <v>543</v>
      </c>
      <c r="B43" s="55" t="s">
        <v>2647</v>
      </c>
      <c r="C43" s="55" t="s">
        <v>2646</v>
      </c>
      <c r="D43" s="55">
        <v>19</v>
      </c>
      <c r="E43" s="55">
        <v>48.5</v>
      </c>
      <c r="F43" s="55">
        <v>96.5</v>
      </c>
      <c r="G43" s="55">
        <v>1232</v>
      </c>
      <c r="H43" s="55">
        <v>2452</v>
      </c>
      <c r="I43" s="55" t="s">
        <v>1224</v>
      </c>
      <c r="J43" s="55" t="s">
        <v>2600</v>
      </c>
      <c r="K43" s="55" t="str">
        <f t="shared" si="0"/>
        <v>PlatformAX 19mm*48.5*96.5 CARB P2 W.MAPLE  C UV / # 2 UV</v>
      </c>
      <c r="L43" s="55" t="s">
        <v>2624</v>
      </c>
    </row>
    <row r="44" spans="1:12">
      <c r="A44" s="55" t="s">
        <v>2648</v>
      </c>
      <c r="B44" s="55" t="s">
        <v>2649</v>
      </c>
      <c r="C44" s="55" t="s">
        <v>2623</v>
      </c>
      <c r="D44" s="55">
        <v>19</v>
      </c>
      <c r="E44" s="55">
        <v>48.5</v>
      </c>
      <c r="F44" s="55">
        <v>96.5</v>
      </c>
      <c r="G44" s="55">
        <v>1232</v>
      </c>
      <c r="H44" s="55">
        <v>2452</v>
      </c>
      <c r="I44" s="55" t="s">
        <v>1224</v>
      </c>
      <c r="J44" s="55" t="s">
        <v>2600</v>
      </c>
      <c r="K44" s="55" t="str">
        <f t="shared" si="0"/>
        <v xml:space="preserve">VCMX 19mm*48.5*96.5 CARB P2 x </v>
      </c>
      <c r="L44" s="55" t="s">
        <v>2624</v>
      </c>
    </row>
    <row r="45" spans="1:12">
      <c r="A45" s="55" t="s">
        <v>2650</v>
      </c>
      <c r="B45" s="55" t="s">
        <v>2651</v>
      </c>
      <c r="C45" s="55" t="s">
        <v>2632</v>
      </c>
      <c r="D45" s="55">
        <v>19</v>
      </c>
      <c r="E45" s="55">
        <v>48.5</v>
      </c>
      <c r="F45" s="55">
        <v>96.5</v>
      </c>
      <c r="G45" s="55">
        <v>1232</v>
      </c>
      <c r="H45" s="55">
        <v>2452</v>
      </c>
      <c r="I45" s="55" t="s">
        <v>1224</v>
      </c>
      <c r="J45" s="55" t="s">
        <v>2600</v>
      </c>
      <c r="K45" s="55" t="str">
        <f t="shared" si="0"/>
        <v>PlatformJS 19mm*48.5*96.5 CARB P2 W.BIRCH D+ UV / D UV</v>
      </c>
    </row>
    <row r="46" spans="1:12">
      <c r="A46" s="55" t="s">
        <v>2652</v>
      </c>
      <c r="B46" s="55" t="s">
        <v>2612</v>
      </c>
      <c r="C46" s="55" t="s">
        <v>2653</v>
      </c>
      <c r="D46" s="55">
        <v>2.7</v>
      </c>
      <c r="E46" s="55">
        <v>36.5</v>
      </c>
      <c r="F46" s="55">
        <v>84.5</v>
      </c>
      <c r="G46" s="55">
        <v>927</v>
      </c>
      <c r="H46" s="55">
        <v>2145</v>
      </c>
      <c r="I46" s="55" t="s">
        <v>1224</v>
      </c>
      <c r="J46" s="55" t="s">
        <v>2654</v>
      </c>
      <c r="K46" s="55" t="str">
        <f t="shared" si="0"/>
        <v xml:space="preserve">PlywoodAP 2.7mm*36.5*84.5 PHENOLIC UV prime </v>
      </c>
      <c r="L46" s="55" t="s">
        <v>2655</v>
      </c>
    </row>
    <row r="47" spans="1:12">
      <c r="A47" s="55" t="s">
        <v>2656</v>
      </c>
      <c r="B47" s="55" t="s">
        <v>2612</v>
      </c>
      <c r="C47" s="55" t="s">
        <v>2653</v>
      </c>
      <c r="D47" s="55">
        <v>2.7</v>
      </c>
      <c r="E47" s="55">
        <v>48.5</v>
      </c>
      <c r="F47" s="55">
        <v>96.5</v>
      </c>
      <c r="G47" s="55">
        <v>1232</v>
      </c>
      <c r="H47" s="55">
        <v>2452</v>
      </c>
      <c r="I47" s="55" t="s">
        <v>1224</v>
      </c>
      <c r="J47" s="55" t="s">
        <v>2654</v>
      </c>
      <c r="K47" s="55" t="str">
        <f t="shared" si="0"/>
        <v xml:space="preserve">PlywoodAP 2.7mm*48.5*96.5 PHENOLIC UV prime </v>
      </c>
      <c r="L47" s="55" t="s">
        <v>2655</v>
      </c>
    </row>
    <row r="48" spans="1:12">
      <c r="A48" s="55" t="s">
        <v>2657</v>
      </c>
      <c r="B48" s="55" t="s">
        <v>2658</v>
      </c>
      <c r="C48" s="55" t="s">
        <v>2659</v>
      </c>
      <c r="D48" s="55">
        <v>19</v>
      </c>
      <c r="E48" s="55">
        <v>48.5</v>
      </c>
      <c r="F48" s="55">
        <v>96.5</v>
      </c>
      <c r="G48" s="55">
        <v>1232</v>
      </c>
      <c r="H48" s="55">
        <v>2452</v>
      </c>
      <c r="I48" s="55" t="s">
        <v>1224</v>
      </c>
      <c r="J48" s="55" t="s">
        <v>2600</v>
      </c>
      <c r="K48" s="55" t="str">
        <f t="shared" si="0"/>
        <v>PlatformQS 19mm*48.5*96.5 CARB P2 W.MAPLE B UV / #2 UV</v>
      </c>
      <c r="L48" s="55" t="s">
        <v>2624</v>
      </c>
    </row>
    <row r="49" spans="1:12">
      <c r="A49" s="55" t="s">
        <v>530</v>
      </c>
      <c r="B49" s="55" t="s">
        <v>2660</v>
      </c>
      <c r="C49" s="55" t="s">
        <v>2661</v>
      </c>
      <c r="D49" s="55">
        <v>12</v>
      </c>
      <c r="E49" s="55">
        <v>48.5</v>
      </c>
      <c r="F49" s="55">
        <v>96.5</v>
      </c>
      <c r="G49" s="55">
        <v>1232</v>
      </c>
      <c r="H49" s="55">
        <v>2452</v>
      </c>
      <c r="I49" s="55" t="s">
        <v>1224</v>
      </c>
      <c r="J49" s="55" t="s">
        <v>2600</v>
      </c>
      <c r="K49" s="55" t="str">
        <f t="shared" si="0"/>
        <v>PlatformJA 12mm*48.5*96.5 CARB P2 W.MAPLE C UV / #2</v>
      </c>
      <c r="L49" s="55" t="s">
        <v>2624</v>
      </c>
    </row>
    <row r="50" spans="1:12">
      <c r="A50" s="55" t="s">
        <v>2662</v>
      </c>
      <c r="B50" s="55" t="s">
        <v>2663</v>
      </c>
      <c r="C50" s="55" t="s">
        <v>2599</v>
      </c>
      <c r="D50" s="55">
        <v>5.2</v>
      </c>
      <c r="E50" s="55">
        <v>48.5</v>
      </c>
      <c r="F50" s="55">
        <v>96.5</v>
      </c>
      <c r="G50" s="55">
        <v>1232</v>
      </c>
      <c r="H50" s="55">
        <v>2452</v>
      </c>
      <c r="I50" s="55" t="s">
        <v>1224</v>
      </c>
      <c r="J50" s="55" t="s">
        <v>2600</v>
      </c>
      <c r="K50" s="55" t="str">
        <f t="shared" si="0"/>
        <v>MDF 5.2mm*48.5*96.5 CARB P2 W.MAPLE B / #3 UV</v>
      </c>
      <c r="L50" s="55" t="s">
        <v>2664</v>
      </c>
    </row>
    <row r="51" spans="1:12">
      <c r="A51" s="55" t="s">
        <v>2665</v>
      </c>
      <c r="B51" s="55" t="s">
        <v>2666</v>
      </c>
      <c r="C51" s="55" t="s">
        <v>2659</v>
      </c>
      <c r="D51" s="55">
        <v>19</v>
      </c>
      <c r="E51" s="55">
        <v>48.5</v>
      </c>
      <c r="F51" s="55">
        <v>96.5</v>
      </c>
      <c r="G51" s="55">
        <v>1232</v>
      </c>
      <c r="H51" s="55">
        <v>2452</v>
      </c>
      <c r="I51" s="55" t="s">
        <v>1224</v>
      </c>
      <c r="J51" s="55" t="s">
        <v>2600</v>
      </c>
      <c r="K51" s="55" t="str">
        <f t="shared" si="0"/>
        <v xml:space="preserve">PlatformQS 19mm*48.5*96.5 CARB P2 W.MAPLE B UV / #2 </v>
      </c>
      <c r="L51" s="55" t="s">
        <v>2664</v>
      </c>
    </row>
    <row r="52" spans="1:12">
      <c r="A52" s="55" t="s">
        <v>2667</v>
      </c>
      <c r="B52" s="55" t="s">
        <v>2660</v>
      </c>
      <c r="C52" s="55" t="s">
        <v>2632</v>
      </c>
      <c r="D52" s="55">
        <v>19</v>
      </c>
      <c r="E52" s="55">
        <v>48.5</v>
      </c>
      <c r="F52" s="55">
        <v>96.5</v>
      </c>
      <c r="G52" s="55">
        <v>1232</v>
      </c>
      <c r="H52" s="55">
        <v>2452</v>
      </c>
      <c r="I52" s="55" t="s">
        <v>1224</v>
      </c>
      <c r="J52" s="55" t="s">
        <v>2600</v>
      </c>
      <c r="K52" s="55" t="str">
        <f t="shared" si="0"/>
        <v>PlatformJS 19mm*48.5*96.5 CARB P2 W.MAPLE C UV / #2</v>
      </c>
      <c r="L52" s="55" t="s">
        <v>2664</v>
      </c>
    </row>
    <row r="53" spans="1:12">
      <c r="A53" s="55" t="s">
        <v>2668</v>
      </c>
      <c r="B53" s="55" t="s">
        <v>2669</v>
      </c>
      <c r="C53" s="55" t="s">
        <v>2632</v>
      </c>
      <c r="D53" s="55">
        <v>16</v>
      </c>
      <c r="E53" s="55">
        <v>48.5</v>
      </c>
      <c r="F53" s="55">
        <v>96.5</v>
      </c>
      <c r="G53" s="55">
        <v>1232</v>
      </c>
      <c r="H53" s="55">
        <v>2452</v>
      </c>
      <c r="I53" s="55" t="s">
        <v>1224</v>
      </c>
      <c r="J53" s="55" t="s">
        <v>2600</v>
      </c>
      <c r="K53" s="55" t="str">
        <f t="shared" si="0"/>
        <v>PlatformJS 16mm*48.5*96.5 CARB P2 W.MAPLE C UV / #2 UV</v>
      </c>
      <c r="L53" s="55" t="s">
        <v>2664</v>
      </c>
    </row>
    <row r="54" spans="1:12">
      <c r="A54" s="55" t="s">
        <v>2670</v>
      </c>
      <c r="B54" s="55" t="s">
        <v>2628</v>
      </c>
      <c r="C54" s="55" t="s">
        <v>2646</v>
      </c>
      <c r="D54" s="55">
        <v>19</v>
      </c>
      <c r="E54" s="55">
        <v>48.5</v>
      </c>
      <c r="F54" s="55">
        <v>96.5</v>
      </c>
      <c r="G54" s="55">
        <v>1232</v>
      </c>
      <c r="H54" s="55">
        <v>2452</v>
      </c>
      <c r="I54" s="55" t="s">
        <v>1224</v>
      </c>
      <c r="J54" s="55" t="s">
        <v>2600</v>
      </c>
      <c r="K54" s="55" t="str">
        <f t="shared" si="0"/>
        <v>PlatformAX 19mm*48.5*96.5 CARB P2 W.MAPLE  B UV / #2 UV</v>
      </c>
      <c r="L54" s="55" t="s">
        <v>2664</v>
      </c>
    </row>
    <row r="55" spans="1:12">
      <c r="A55" s="55" t="s">
        <v>2671</v>
      </c>
      <c r="B55" s="55" t="s">
        <v>2672</v>
      </c>
      <c r="C55" s="55" t="s">
        <v>2646</v>
      </c>
      <c r="D55" s="55">
        <v>19</v>
      </c>
      <c r="E55" s="55">
        <v>48.5</v>
      </c>
      <c r="F55" s="55">
        <v>96.5</v>
      </c>
      <c r="G55" s="55">
        <v>1232</v>
      </c>
      <c r="H55" s="55">
        <v>2452</v>
      </c>
      <c r="I55" s="55" t="s">
        <v>1224</v>
      </c>
      <c r="J55" s="55" t="s">
        <v>2600</v>
      </c>
      <c r="K55" s="55" t="str">
        <f t="shared" si="0"/>
        <v>PlatformAX 19mm*48.5*96.5 CARB P2 W.MAPLE B NO FIG / #2</v>
      </c>
      <c r="L55" s="55" t="s">
        <v>2664</v>
      </c>
    </row>
    <row r="56" spans="1:12">
      <c r="A56" s="55" t="s">
        <v>2673</v>
      </c>
      <c r="B56" s="55" t="s">
        <v>2674</v>
      </c>
      <c r="C56" s="55" t="s">
        <v>2646</v>
      </c>
      <c r="D56" s="55">
        <v>18</v>
      </c>
      <c r="E56" s="55" t="s">
        <v>2675</v>
      </c>
      <c r="F56" s="55">
        <v>96.5</v>
      </c>
      <c r="G56" s="55">
        <v>1232</v>
      </c>
      <c r="H56" s="55">
        <v>2452</v>
      </c>
      <c r="I56" s="55" t="s">
        <v>1224</v>
      </c>
      <c r="J56" s="55" t="s">
        <v>2600</v>
      </c>
      <c r="K56" s="55" t="str">
        <f t="shared" si="0"/>
        <v>PlatformAX 18mm*48..5*96.5 CARB P2 W.MAPLE  B UV / #2</v>
      </c>
      <c r="L56" s="55" t="s">
        <v>2664</v>
      </c>
    </row>
    <row r="57" spans="1:12">
      <c r="A57" s="55" t="s">
        <v>2676</v>
      </c>
      <c r="B57" s="55" t="s">
        <v>2677</v>
      </c>
      <c r="C57" s="55" t="s">
        <v>2632</v>
      </c>
      <c r="D57" s="55">
        <v>19</v>
      </c>
      <c r="E57" s="55">
        <v>48.5</v>
      </c>
      <c r="F57" s="55">
        <v>96.5</v>
      </c>
      <c r="G57" s="55">
        <v>1232</v>
      </c>
      <c r="H57" s="55">
        <v>2452</v>
      </c>
      <c r="I57" s="55" t="s">
        <v>1224</v>
      </c>
      <c r="J57" s="55" t="s">
        <v>2600</v>
      </c>
      <c r="K57" s="55" t="str">
        <f t="shared" si="0"/>
        <v>PlatformJS 19mm*48.5*96.5 CARB P2 W.MAPLE B UV /#2</v>
      </c>
      <c r="L57" s="55" t="s">
        <v>2664</v>
      </c>
    </row>
    <row r="58" spans="1:12">
      <c r="A58" s="55" t="s">
        <v>2678</v>
      </c>
      <c r="B58" s="55" t="s">
        <v>2679</v>
      </c>
      <c r="C58" s="55" t="s">
        <v>2680</v>
      </c>
      <c r="D58" s="55">
        <v>12</v>
      </c>
      <c r="E58" s="55">
        <v>48.5</v>
      </c>
      <c r="F58" s="55">
        <v>96.5</v>
      </c>
      <c r="G58" s="55">
        <v>1232</v>
      </c>
      <c r="H58" s="55">
        <v>2452</v>
      </c>
      <c r="I58" s="55" t="s">
        <v>1224</v>
      </c>
      <c r="J58" s="55" t="s">
        <v>2600</v>
      </c>
      <c r="K58" s="55" t="str">
        <f t="shared" si="0"/>
        <v>PlywoodJA 12mm*48.5*96.5 CARB P2 R.OAK/W.MAPLE  B/#1</v>
      </c>
      <c r="L58" s="55" t="s">
        <v>2664</v>
      </c>
    </row>
    <row r="59" spans="1:12">
      <c r="A59" s="55" t="s">
        <v>2681</v>
      </c>
      <c r="B59" s="55" t="s">
        <v>2682</v>
      </c>
      <c r="C59" s="55" t="s">
        <v>2680</v>
      </c>
      <c r="D59" s="55">
        <v>12</v>
      </c>
      <c r="E59" s="55">
        <v>48.5</v>
      </c>
      <c r="F59" s="55">
        <v>96.5</v>
      </c>
      <c r="G59" s="55">
        <v>1232</v>
      </c>
      <c r="H59" s="55">
        <v>2452</v>
      </c>
      <c r="I59" s="55" t="s">
        <v>1224</v>
      </c>
      <c r="J59" s="55" t="s">
        <v>2600</v>
      </c>
      <c r="K59" s="55" t="str">
        <f t="shared" si="0"/>
        <v>PlywoodJA 12mm*48.5*96.5 CARB P2 CHERRY/W.MAPLE B/#1</v>
      </c>
      <c r="L59" s="55" t="s">
        <v>2664</v>
      </c>
    </row>
    <row r="60" spans="1:12">
      <c r="A60" s="55" t="s">
        <v>2683</v>
      </c>
      <c r="B60" s="55" t="s">
        <v>2684</v>
      </c>
      <c r="C60" s="55" t="s">
        <v>2685</v>
      </c>
      <c r="D60" s="55">
        <v>6.3</v>
      </c>
      <c r="E60" s="55">
        <v>48.5</v>
      </c>
      <c r="F60" s="55">
        <v>96.5</v>
      </c>
      <c r="G60" s="55">
        <v>1232</v>
      </c>
      <c r="H60" s="55">
        <v>2452</v>
      </c>
      <c r="I60" s="55" t="s">
        <v>1224</v>
      </c>
      <c r="J60" s="55" t="s">
        <v>2600</v>
      </c>
      <c r="K60" s="55" t="str">
        <f t="shared" si="0"/>
        <v>PlatformEU 6.3mm*48.5*96.5 CARB P2 W.MAPLE  C UV / #3</v>
      </c>
      <c r="L60" s="55" t="s">
        <v>2664</v>
      </c>
    </row>
    <row r="61" spans="1:12">
      <c r="A61" s="55" t="s">
        <v>2686</v>
      </c>
      <c r="B61" s="55" t="s">
        <v>2687</v>
      </c>
      <c r="C61" s="55" t="s">
        <v>2680</v>
      </c>
      <c r="D61" s="55">
        <v>12</v>
      </c>
      <c r="E61" s="55">
        <v>48.5</v>
      </c>
      <c r="F61" s="55">
        <v>96.5</v>
      </c>
      <c r="G61" s="55">
        <v>1233</v>
      </c>
      <c r="H61" s="55">
        <v>2452</v>
      </c>
      <c r="I61" s="55" t="s">
        <v>1224</v>
      </c>
      <c r="J61" s="55" t="s">
        <v>2600</v>
      </c>
      <c r="K61" s="55" t="str">
        <f t="shared" si="0"/>
        <v>PlywoodJA 12mm*48.5*96.5 CARB P2 HICKORYW.MAPLE B CALICO/#1</v>
      </c>
      <c r="L61" s="55" t="s">
        <v>2624</v>
      </c>
    </row>
  </sheetData>
  <autoFilter ref="A1:I61" xr:uid="{00000000-0009-0000-0000-000000000000}"/>
  <conditionalFormatting sqref="A1:A5 A10:A13 A15:A24 A26:A1048576">
    <cfRule type="duplicateValues" dxfId="389" priority="15"/>
    <cfRule type="duplicateValues" dxfId="388" priority="16"/>
  </conditionalFormatting>
  <conditionalFormatting sqref="A1:A24 A26:A1048576">
    <cfRule type="duplicateValues" dxfId="387" priority="4"/>
  </conditionalFormatting>
  <conditionalFormatting sqref="A6">
    <cfRule type="duplicateValues" dxfId="386" priority="9"/>
    <cfRule type="duplicateValues" dxfId="385" priority="14"/>
  </conditionalFormatting>
  <conditionalFormatting sqref="A7">
    <cfRule type="duplicateValues" dxfId="384" priority="8"/>
    <cfRule type="duplicateValues" dxfId="383" priority="13"/>
  </conditionalFormatting>
  <conditionalFormatting sqref="A8">
    <cfRule type="duplicateValues" dxfId="382" priority="7"/>
    <cfRule type="duplicateValues" dxfId="381" priority="12"/>
  </conditionalFormatting>
  <conditionalFormatting sqref="A9">
    <cfRule type="duplicateValues" dxfId="380" priority="6"/>
    <cfRule type="duplicateValues" dxfId="379" priority="11"/>
  </conditionalFormatting>
  <conditionalFormatting sqref="A14">
    <cfRule type="duplicateValues" dxfId="378" priority="5"/>
    <cfRule type="duplicateValues" dxfId="377" priority="10"/>
  </conditionalFormatting>
  <conditionalFormatting sqref="A25">
    <cfRule type="duplicateValues" dxfId="376" priority="1"/>
    <cfRule type="duplicateValues" dxfId="375" priority="2"/>
    <cfRule type="duplicateValues" dxfId="374" priority="3"/>
  </conditionalFormatting>
  <printOptions horizontalCentered="1"/>
  <pageMargins left="7.7777777777777807E-2" right="7.7777777777777807E-2" top="0.59027777777777801" bottom="7.7777777777777807E-2" header="0.51180555555555596" footer="0.51180555555555596"/>
  <pageSetup paperSize="9" fitToHeight="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8313-14AB-45F5-8833-B6408663C4A0}">
  <sheetPr>
    <tabColor rgb="FF404040"/>
  </sheetPr>
  <dimension ref="A1:M1310"/>
  <sheetViews>
    <sheetView zoomScale="115" zoomScaleNormal="115" zoomScaleSheetLayoutView="160" zoomScalePageLayoutView="110" workbookViewId="0">
      <pane xSplit="2" ySplit="1" topLeftCell="C917" activePane="bottomRight" state="frozen"/>
      <selection pane="topRight"/>
      <selection pane="bottomLeft"/>
      <selection pane="bottomRight" activeCell="I1" sqref="I1"/>
    </sheetView>
  </sheetViews>
  <sheetFormatPr defaultColWidth="4.6640625" defaultRowHeight="11.4" customHeight="1"/>
  <cols>
    <col min="1" max="1" width="21" style="24" customWidth="1"/>
    <col min="2" max="2" width="24.88671875" style="24" customWidth="1"/>
    <col min="3" max="3" width="9" style="24" customWidth="1"/>
    <col min="4" max="4" width="7.44140625" style="24" customWidth="1"/>
    <col min="5" max="5" width="8.6640625" style="24" customWidth="1"/>
    <col min="6" max="6" width="5.88671875" style="30" customWidth="1"/>
    <col min="7" max="7" width="4.6640625" style="24" customWidth="1"/>
    <col min="8" max="8" width="12.44140625" style="24" customWidth="1"/>
    <col min="9" max="9" width="10.109375" style="24" customWidth="1"/>
    <col min="10" max="10" width="8.5546875" style="24" customWidth="1"/>
    <col min="11" max="11" width="4.5546875" style="24" customWidth="1"/>
    <col min="12" max="12" width="9.5546875" style="24" customWidth="1"/>
    <col min="13" max="13" width="13.5546875" style="24" customWidth="1"/>
    <col min="14" max="23" width="4.6640625" style="24"/>
    <col min="24" max="24" width="11.6640625" style="24" customWidth="1"/>
    <col min="25" max="25" width="30.5546875" style="24" customWidth="1"/>
    <col min="26" max="16384" width="4.6640625" style="24"/>
  </cols>
  <sheetData>
    <row r="1" spans="1:13" ht="27.75" customHeight="1">
      <c r="A1" s="26" t="s">
        <v>1208</v>
      </c>
      <c r="B1" s="26" t="s">
        <v>1209</v>
      </c>
      <c r="C1" s="26" t="s">
        <v>1210</v>
      </c>
      <c r="D1" s="26" t="s">
        <v>1211</v>
      </c>
      <c r="E1" s="26" t="s">
        <v>1212</v>
      </c>
      <c r="F1" s="27" t="s">
        <v>1213</v>
      </c>
      <c r="G1" s="26" t="s">
        <v>1214</v>
      </c>
      <c r="H1" s="26" t="s">
        <v>1215</v>
      </c>
      <c r="I1" s="28" t="s">
        <v>1216</v>
      </c>
      <c r="J1" s="26" t="s">
        <v>1121</v>
      </c>
      <c r="K1" s="28" t="s">
        <v>1217</v>
      </c>
      <c r="L1" s="29" t="s">
        <v>1218</v>
      </c>
      <c r="M1" s="26" t="s">
        <v>1208</v>
      </c>
    </row>
    <row r="2" spans="1:13" ht="13.2">
      <c r="A2" s="24" t="s">
        <v>1219</v>
      </c>
      <c r="B2" s="24" t="s">
        <v>1220</v>
      </c>
      <c r="C2" s="24">
        <v>0.25</v>
      </c>
      <c r="D2" s="24">
        <v>1265</v>
      </c>
      <c r="E2" s="24">
        <v>2520</v>
      </c>
      <c r="F2" s="30" t="s">
        <v>1221</v>
      </c>
      <c r="G2" s="24" t="s">
        <v>1222</v>
      </c>
      <c r="H2" s="24" t="s">
        <v>1109</v>
      </c>
      <c r="I2" s="24" t="s">
        <v>1223</v>
      </c>
      <c r="K2" s="24" t="s">
        <v>1224</v>
      </c>
      <c r="L2" s="24" t="s">
        <v>1225</v>
      </c>
      <c r="M2" s="24" t="str">
        <f t="shared" ref="M2:M65" si="0">RIGHT(A2,8)</f>
        <v>XALPB102</v>
      </c>
    </row>
    <row r="3" spans="1:13" ht="13.2">
      <c r="A3" s="24" t="s">
        <v>1226</v>
      </c>
      <c r="B3" s="24" t="s">
        <v>1220</v>
      </c>
      <c r="C3" s="24">
        <v>0.25</v>
      </c>
      <c r="D3" s="24">
        <v>1265</v>
      </c>
      <c r="E3" s="24">
        <v>2520</v>
      </c>
      <c r="F3" s="30" t="s">
        <v>1221</v>
      </c>
      <c r="G3" s="24" t="s">
        <v>1222</v>
      </c>
      <c r="H3" s="24" t="s">
        <v>1109</v>
      </c>
      <c r="I3" s="24" t="s">
        <v>1223</v>
      </c>
      <c r="K3" s="24" t="s">
        <v>1224</v>
      </c>
      <c r="L3" s="24" t="s">
        <v>1225</v>
      </c>
      <c r="M3" s="24" t="str">
        <f t="shared" si="0"/>
        <v>XALPB102</v>
      </c>
    </row>
    <row r="4" spans="1:13" ht="13.2">
      <c r="A4" s="24" t="s">
        <v>1227</v>
      </c>
      <c r="B4" s="24" t="s">
        <v>1220</v>
      </c>
      <c r="C4" s="24">
        <v>0.5</v>
      </c>
      <c r="D4" s="24">
        <v>1265</v>
      </c>
      <c r="E4" s="24">
        <v>1900</v>
      </c>
      <c r="F4" s="30" t="s">
        <v>1221</v>
      </c>
      <c r="G4" s="24" t="s">
        <v>1222</v>
      </c>
      <c r="H4" s="24" t="s">
        <v>1109</v>
      </c>
      <c r="I4" s="24" t="s">
        <v>1223</v>
      </c>
      <c r="K4" s="24" t="s">
        <v>1224</v>
      </c>
      <c r="L4" s="24" t="s">
        <v>1225</v>
      </c>
      <c r="M4" s="24" t="str">
        <f t="shared" si="0"/>
        <v>XALPB101</v>
      </c>
    </row>
    <row r="5" spans="1:13" ht="13.2">
      <c r="A5" s="24" t="s">
        <v>1228</v>
      </c>
      <c r="B5" s="24" t="s">
        <v>1220</v>
      </c>
      <c r="C5" s="24">
        <v>0.5</v>
      </c>
      <c r="D5" s="24">
        <v>1265</v>
      </c>
      <c r="E5" s="24">
        <v>1900</v>
      </c>
      <c r="F5" s="30" t="s">
        <v>1221</v>
      </c>
      <c r="G5" s="24" t="s">
        <v>1222</v>
      </c>
      <c r="H5" s="24" t="s">
        <v>1109</v>
      </c>
      <c r="I5" s="24" t="s">
        <v>1223</v>
      </c>
      <c r="K5" s="24" t="s">
        <v>1224</v>
      </c>
      <c r="L5" s="24" t="s">
        <v>1225</v>
      </c>
      <c r="M5" s="24" t="str">
        <f t="shared" si="0"/>
        <v>XALPB101</v>
      </c>
    </row>
    <row r="6" spans="1:13" ht="13.2">
      <c r="A6" s="24" t="s">
        <v>1229</v>
      </c>
      <c r="B6" s="24" t="s">
        <v>1220</v>
      </c>
      <c r="C6" s="24">
        <v>0.5</v>
      </c>
      <c r="D6" s="24">
        <v>1265</v>
      </c>
      <c r="E6" s="24">
        <v>2520</v>
      </c>
      <c r="F6" s="30" t="s">
        <v>1221</v>
      </c>
      <c r="G6" s="24" t="s">
        <v>1222</v>
      </c>
      <c r="H6" s="24" t="s">
        <v>1109</v>
      </c>
      <c r="I6" s="24" t="s">
        <v>1230</v>
      </c>
      <c r="K6" s="24" t="s">
        <v>1224</v>
      </c>
      <c r="L6" s="24" t="s">
        <v>1225</v>
      </c>
      <c r="M6" s="24" t="str">
        <f t="shared" si="0"/>
        <v>XALPM101</v>
      </c>
    </row>
    <row r="7" spans="1:13" ht="13.2">
      <c r="A7" s="24" t="s">
        <v>68</v>
      </c>
      <c r="B7" s="24" t="s">
        <v>1220</v>
      </c>
      <c r="C7" s="24">
        <v>0.5</v>
      </c>
      <c r="D7" s="24">
        <v>1265</v>
      </c>
      <c r="E7" s="24">
        <v>2520</v>
      </c>
      <c r="F7" s="30" t="s">
        <v>1221</v>
      </c>
      <c r="G7" s="24" t="s">
        <v>1222</v>
      </c>
      <c r="H7" s="24" t="s">
        <v>1109</v>
      </c>
      <c r="I7" s="24" t="s">
        <v>1230</v>
      </c>
      <c r="K7" s="24" t="s">
        <v>1224</v>
      </c>
      <c r="L7" s="24" t="s">
        <v>1225</v>
      </c>
      <c r="M7" s="24" t="str">
        <f t="shared" si="0"/>
        <v>XALPM101</v>
      </c>
    </row>
    <row r="8" spans="1:13" ht="13.2">
      <c r="A8" s="24" t="s">
        <v>1231</v>
      </c>
      <c r="B8" s="24" t="s">
        <v>1220</v>
      </c>
      <c r="C8" s="24">
        <v>0.5</v>
      </c>
      <c r="D8" s="24">
        <v>1265</v>
      </c>
      <c r="E8" s="24">
        <v>1900</v>
      </c>
      <c r="F8" s="30" t="s">
        <v>1221</v>
      </c>
      <c r="G8" s="24" t="s">
        <v>1222</v>
      </c>
      <c r="H8" s="24" t="s">
        <v>1109</v>
      </c>
      <c r="I8" s="24" t="s">
        <v>1232</v>
      </c>
      <c r="K8" s="24" t="s">
        <v>1224</v>
      </c>
      <c r="L8" s="24" t="s">
        <v>1225</v>
      </c>
      <c r="M8" s="24" t="str">
        <f t="shared" si="0"/>
        <v>XALPS101</v>
      </c>
    </row>
    <row r="9" spans="1:13" ht="13.2">
      <c r="A9" s="24" t="s">
        <v>97</v>
      </c>
      <c r="B9" s="24" t="s">
        <v>1220</v>
      </c>
      <c r="C9" s="24">
        <v>0.5</v>
      </c>
      <c r="D9" s="24">
        <v>1265</v>
      </c>
      <c r="E9" s="24">
        <v>1900</v>
      </c>
      <c r="F9" s="30" t="s">
        <v>1221</v>
      </c>
      <c r="G9" s="24" t="s">
        <v>1222</v>
      </c>
      <c r="H9" s="24" t="s">
        <v>1109</v>
      </c>
      <c r="I9" s="24" t="s">
        <v>1232</v>
      </c>
      <c r="K9" s="24" t="s">
        <v>1224</v>
      </c>
      <c r="L9" s="24" t="s">
        <v>1225</v>
      </c>
      <c r="M9" s="24" t="str">
        <f t="shared" si="0"/>
        <v>XALPS101</v>
      </c>
    </row>
    <row r="10" spans="1:13" ht="13.2">
      <c r="A10" s="24" t="s">
        <v>1233</v>
      </c>
      <c r="B10" s="24" t="s">
        <v>1220</v>
      </c>
      <c r="C10" s="24">
        <v>0.5</v>
      </c>
      <c r="D10" s="24">
        <v>1265</v>
      </c>
      <c r="E10" s="24">
        <v>2520</v>
      </c>
      <c r="F10" s="30" t="s">
        <v>1221</v>
      </c>
      <c r="G10" s="24" t="s">
        <v>1222</v>
      </c>
      <c r="H10" s="24" t="s">
        <v>1234</v>
      </c>
      <c r="I10" s="24" t="s">
        <v>1230</v>
      </c>
      <c r="K10" s="24" t="s">
        <v>1224</v>
      </c>
      <c r="L10" s="24" t="s">
        <v>1225</v>
      </c>
      <c r="M10" s="24" t="str">
        <f t="shared" si="0"/>
        <v>XALPM102</v>
      </c>
    </row>
    <row r="11" spans="1:13" ht="13.2">
      <c r="A11" s="24" t="s">
        <v>1235</v>
      </c>
      <c r="B11" s="24" t="s">
        <v>1220</v>
      </c>
      <c r="C11" s="24">
        <v>0.5</v>
      </c>
      <c r="D11" s="24">
        <v>1265</v>
      </c>
      <c r="E11" s="24">
        <v>2520</v>
      </c>
      <c r="F11" s="30" t="s">
        <v>1221</v>
      </c>
      <c r="G11" s="24" t="s">
        <v>1222</v>
      </c>
      <c r="H11" s="24" t="s">
        <v>1234</v>
      </c>
      <c r="I11" s="24" t="s">
        <v>1230</v>
      </c>
      <c r="K11" s="24" t="s">
        <v>1224</v>
      </c>
      <c r="L11" s="24" t="s">
        <v>1225</v>
      </c>
      <c r="M11" s="24" t="str">
        <f t="shared" si="0"/>
        <v>XALPM102</v>
      </c>
    </row>
    <row r="12" spans="1:13" ht="13.2">
      <c r="A12" s="24" t="s">
        <v>1236</v>
      </c>
      <c r="B12" s="24" t="s">
        <v>1220</v>
      </c>
      <c r="C12" s="24">
        <v>0.5</v>
      </c>
      <c r="D12" s="24">
        <v>1265</v>
      </c>
      <c r="E12" s="24">
        <v>2520</v>
      </c>
      <c r="F12" s="30" t="s">
        <v>1221</v>
      </c>
      <c r="G12" s="24" t="s">
        <v>1222</v>
      </c>
      <c r="H12" s="24" t="s">
        <v>1234</v>
      </c>
      <c r="I12" s="24" t="s">
        <v>1237</v>
      </c>
      <c r="K12" s="24" t="s">
        <v>1224</v>
      </c>
      <c r="L12" s="24" t="s">
        <v>1225</v>
      </c>
      <c r="M12" s="24" t="str">
        <f t="shared" si="0"/>
        <v>XALPP102</v>
      </c>
    </row>
    <row r="13" spans="1:13" ht="13.2">
      <c r="A13" s="24" t="s">
        <v>1238</v>
      </c>
      <c r="B13" s="24" t="s">
        <v>1220</v>
      </c>
      <c r="C13" s="24">
        <v>0.5</v>
      </c>
      <c r="D13" s="24">
        <v>1265</v>
      </c>
      <c r="E13" s="24">
        <v>2520</v>
      </c>
      <c r="F13" s="30" t="s">
        <v>1221</v>
      </c>
      <c r="G13" s="24" t="s">
        <v>1222</v>
      </c>
      <c r="H13" s="24" t="s">
        <v>1234</v>
      </c>
      <c r="I13" s="24" t="s">
        <v>1237</v>
      </c>
      <c r="K13" s="24" t="s">
        <v>1224</v>
      </c>
      <c r="L13" s="24" t="s">
        <v>1225</v>
      </c>
      <c r="M13" s="24" t="str">
        <f t="shared" si="0"/>
        <v>XALPP102</v>
      </c>
    </row>
    <row r="14" spans="1:13" ht="13.2">
      <c r="A14" s="24" t="s">
        <v>1239</v>
      </c>
      <c r="B14" s="24" t="s">
        <v>1220</v>
      </c>
      <c r="C14" s="24">
        <v>0.5</v>
      </c>
      <c r="D14" s="24">
        <v>1265</v>
      </c>
      <c r="E14" s="24">
        <v>2520</v>
      </c>
      <c r="F14" s="30" t="s">
        <v>1240</v>
      </c>
      <c r="G14" s="24" t="s">
        <v>1222</v>
      </c>
      <c r="H14" s="24" t="s">
        <v>1241</v>
      </c>
      <c r="I14" s="24" t="s">
        <v>1237</v>
      </c>
      <c r="K14" s="24" t="s">
        <v>1224</v>
      </c>
      <c r="L14" s="24" t="s">
        <v>1225</v>
      </c>
      <c r="M14" s="24" t="str">
        <f t="shared" si="0"/>
        <v>XALPP101</v>
      </c>
    </row>
    <row r="15" spans="1:13" ht="13.2">
      <c r="A15" s="24" t="s">
        <v>1242</v>
      </c>
      <c r="B15" s="24" t="s">
        <v>1220</v>
      </c>
      <c r="C15" s="24">
        <v>0.5</v>
      </c>
      <c r="D15" s="24">
        <v>1265</v>
      </c>
      <c r="E15" s="24">
        <v>2520</v>
      </c>
      <c r="F15" s="30" t="s">
        <v>1240</v>
      </c>
      <c r="G15" s="24" t="s">
        <v>1222</v>
      </c>
      <c r="H15" s="24" t="s">
        <v>1241</v>
      </c>
      <c r="I15" s="24" t="s">
        <v>1237</v>
      </c>
      <c r="K15" s="24" t="s">
        <v>1224</v>
      </c>
      <c r="L15" s="24" t="s">
        <v>1225</v>
      </c>
      <c r="M15" s="24" t="str">
        <f t="shared" si="0"/>
        <v>XALPP101</v>
      </c>
    </row>
    <row r="16" spans="1:13" ht="13.2">
      <c r="A16" s="24" t="s">
        <v>1243</v>
      </c>
      <c r="B16" s="24" t="s">
        <v>1220</v>
      </c>
      <c r="C16" s="24">
        <v>0.5</v>
      </c>
      <c r="D16" s="24">
        <v>1265</v>
      </c>
      <c r="E16" s="24">
        <v>2520</v>
      </c>
      <c r="F16" s="30" t="s">
        <v>1221</v>
      </c>
      <c r="G16" s="24" t="s">
        <v>1222</v>
      </c>
      <c r="H16" s="24" t="s">
        <v>1244</v>
      </c>
      <c r="I16" s="24" t="s">
        <v>1230</v>
      </c>
      <c r="K16" s="24" t="s">
        <v>1224</v>
      </c>
      <c r="L16" s="24" t="s">
        <v>1225</v>
      </c>
      <c r="M16" s="24" t="str">
        <f t="shared" si="0"/>
        <v>XALPM201</v>
      </c>
    </row>
    <row r="17" spans="1:13" ht="13.2">
      <c r="A17" s="24" t="s">
        <v>64</v>
      </c>
      <c r="B17" s="24" t="s">
        <v>1220</v>
      </c>
      <c r="C17" s="24">
        <v>0.5</v>
      </c>
      <c r="D17" s="24">
        <v>1265</v>
      </c>
      <c r="E17" s="24">
        <v>2520</v>
      </c>
      <c r="F17" s="30" t="s">
        <v>1221</v>
      </c>
      <c r="G17" s="24" t="s">
        <v>1222</v>
      </c>
      <c r="H17" s="24" t="s">
        <v>1244</v>
      </c>
      <c r="I17" s="24" t="s">
        <v>1230</v>
      </c>
      <c r="K17" s="24" t="s">
        <v>1224</v>
      </c>
      <c r="L17" s="24" t="s">
        <v>1225</v>
      </c>
      <c r="M17" s="24" t="str">
        <f t="shared" si="0"/>
        <v>XALPM201</v>
      </c>
    </row>
    <row r="18" spans="1:13" ht="13.2">
      <c r="A18" s="24" t="s">
        <v>1245</v>
      </c>
      <c r="B18" s="24" t="s">
        <v>1220</v>
      </c>
      <c r="C18" s="24">
        <v>0.5</v>
      </c>
      <c r="D18" s="24">
        <v>1265</v>
      </c>
      <c r="E18" s="24">
        <v>1900</v>
      </c>
      <c r="F18" s="30" t="s">
        <v>1221</v>
      </c>
      <c r="G18" s="24" t="s">
        <v>1222</v>
      </c>
      <c r="H18" s="24" t="s">
        <v>1244</v>
      </c>
      <c r="I18" s="24" t="s">
        <v>1237</v>
      </c>
      <c r="K18" s="24" t="s">
        <v>1224</v>
      </c>
      <c r="L18" s="24" t="s">
        <v>1225</v>
      </c>
      <c r="M18" s="24" t="str">
        <f t="shared" si="0"/>
        <v>XALPP201</v>
      </c>
    </row>
    <row r="19" spans="1:13" ht="13.2">
      <c r="A19" s="24" t="s">
        <v>105</v>
      </c>
      <c r="B19" s="24" t="s">
        <v>1220</v>
      </c>
      <c r="C19" s="24">
        <v>0.5</v>
      </c>
      <c r="D19" s="24">
        <v>1265</v>
      </c>
      <c r="E19" s="24">
        <v>1900</v>
      </c>
      <c r="F19" s="30" t="s">
        <v>1221</v>
      </c>
      <c r="G19" s="24" t="s">
        <v>1222</v>
      </c>
      <c r="H19" s="24" t="s">
        <v>1244</v>
      </c>
      <c r="I19" s="24" t="s">
        <v>1237</v>
      </c>
      <c r="K19" s="24" t="s">
        <v>1224</v>
      </c>
      <c r="L19" s="24" t="s">
        <v>1225</v>
      </c>
      <c r="M19" s="24" t="str">
        <f t="shared" si="0"/>
        <v>XALPP201</v>
      </c>
    </row>
    <row r="20" spans="1:13" ht="13.2">
      <c r="A20" s="24" t="s">
        <v>1246</v>
      </c>
      <c r="B20" s="24" t="s">
        <v>1220</v>
      </c>
      <c r="C20" s="24">
        <v>0.5</v>
      </c>
      <c r="D20" s="24">
        <v>1265</v>
      </c>
      <c r="E20" s="24">
        <v>2520</v>
      </c>
      <c r="F20" s="30" t="s">
        <v>1221</v>
      </c>
      <c r="G20" s="24" t="s">
        <v>1222</v>
      </c>
      <c r="H20" s="24" t="s">
        <v>1247</v>
      </c>
      <c r="I20" s="24" t="s">
        <v>1230</v>
      </c>
      <c r="K20" s="24" t="s">
        <v>1224</v>
      </c>
      <c r="L20" s="24" t="s">
        <v>1225</v>
      </c>
      <c r="M20" s="24" t="str">
        <f t="shared" si="0"/>
        <v>XALPM202</v>
      </c>
    </row>
    <row r="21" spans="1:13" ht="13.2">
      <c r="A21" s="24" t="s">
        <v>1248</v>
      </c>
      <c r="B21" s="24" t="s">
        <v>1220</v>
      </c>
      <c r="C21" s="24">
        <v>0.5</v>
      </c>
      <c r="D21" s="24">
        <v>1265</v>
      </c>
      <c r="E21" s="24">
        <v>2520</v>
      </c>
      <c r="F21" s="30" t="s">
        <v>1221</v>
      </c>
      <c r="G21" s="24" t="s">
        <v>1222</v>
      </c>
      <c r="H21" s="24" t="s">
        <v>1247</v>
      </c>
      <c r="I21" s="24" t="s">
        <v>1230</v>
      </c>
      <c r="K21" s="24" t="s">
        <v>1224</v>
      </c>
      <c r="L21" s="24" t="s">
        <v>1225</v>
      </c>
      <c r="M21" s="24" t="str">
        <f t="shared" si="0"/>
        <v>XALPM202</v>
      </c>
    </row>
    <row r="22" spans="1:13" ht="13.2">
      <c r="A22" s="24" t="s">
        <v>1249</v>
      </c>
      <c r="B22" s="24" t="s">
        <v>1220</v>
      </c>
      <c r="C22" s="24">
        <v>0.5</v>
      </c>
      <c r="D22" s="24">
        <v>1265</v>
      </c>
      <c r="E22" s="24">
        <v>2520</v>
      </c>
      <c r="F22" s="30" t="s">
        <v>1221</v>
      </c>
      <c r="G22" s="24" t="s">
        <v>1222</v>
      </c>
      <c r="H22" s="24" t="s">
        <v>1250</v>
      </c>
      <c r="I22" s="24" t="s">
        <v>1230</v>
      </c>
      <c r="K22" s="24" t="s">
        <v>1224</v>
      </c>
      <c r="L22" s="24" t="s">
        <v>1225</v>
      </c>
      <c r="M22" s="24" t="str">
        <f t="shared" si="0"/>
        <v>XALPM401</v>
      </c>
    </row>
    <row r="23" spans="1:13" ht="13.2">
      <c r="A23" s="24" t="s">
        <v>117</v>
      </c>
      <c r="B23" s="24" t="s">
        <v>1220</v>
      </c>
      <c r="C23" s="24">
        <v>0.5</v>
      </c>
      <c r="D23" s="24">
        <v>1265</v>
      </c>
      <c r="E23" s="24">
        <v>2520</v>
      </c>
      <c r="F23" s="30" t="s">
        <v>1221</v>
      </c>
      <c r="G23" s="24" t="s">
        <v>1222</v>
      </c>
      <c r="H23" s="24" t="s">
        <v>1250</v>
      </c>
      <c r="I23" s="24" t="s">
        <v>1230</v>
      </c>
      <c r="K23" s="24" t="s">
        <v>1224</v>
      </c>
      <c r="L23" s="24" t="s">
        <v>1225</v>
      </c>
      <c r="M23" s="24" t="str">
        <f t="shared" si="0"/>
        <v>XALPM401</v>
      </c>
    </row>
    <row r="24" spans="1:13" ht="13.2">
      <c r="A24" s="24" t="s">
        <v>1251</v>
      </c>
      <c r="B24" s="24" t="s">
        <v>1220</v>
      </c>
      <c r="C24" s="24">
        <v>0.5</v>
      </c>
      <c r="D24" s="24">
        <v>1265</v>
      </c>
      <c r="E24" s="24">
        <v>2520</v>
      </c>
      <c r="F24" s="30" t="s">
        <v>1252</v>
      </c>
      <c r="G24" s="24" t="s">
        <v>1222</v>
      </c>
      <c r="H24" s="24" t="s">
        <v>49</v>
      </c>
      <c r="I24" s="24" t="s">
        <v>1223</v>
      </c>
      <c r="K24" s="24" t="s">
        <v>1224</v>
      </c>
      <c r="L24" s="24" t="s">
        <v>1225</v>
      </c>
      <c r="M24" s="24" t="str">
        <f t="shared" si="0"/>
        <v>XALPBA01</v>
      </c>
    </row>
    <row r="25" spans="1:13" ht="13.2">
      <c r="A25" s="24" t="s">
        <v>59</v>
      </c>
      <c r="B25" s="24" t="s">
        <v>1220</v>
      </c>
      <c r="C25" s="24">
        <v>0.5</v>
      </c>
      <c r="D25" s="24">
        <v>1265</v>
      </c>
      <c r="E25" s="24">
        <v>2520</v>
      </c>
      <c r="F25" s="30" t="s">
        <v>1252</v>
      </c>
      <c r="G25" s="24" t="s">
        <v>1222</v>
      </c>
      <c r="H25" s="24" t="s">
        <v>49</v>
      </c>
      <c r="I25" s="24" t="s">
        <v>1223</v>
      </c>
      <c r="K25" s="24" t="s">
        <v>1224</v>
      </c>
      <c r="L25" s="24" t="s">
        <v>1225</v>
      </c>
      <c r="M25" s="24" t="str">
        <f t="shared" si="0"/>
        <v>XALPBA01</v>
      </c>
    </row>
    <row r="26" spans="1:13" ht="13.2">
      <c r="A26" s="24" t="s">
        <v>1253</v>
      </c>
      <c r="B26" s="24" t="s">
        <v>1220</v>
      </c>
      <c r="C26" s="24">
        <v>0.5</v>
      </c>
      <c r="D26" s="24">
        <v>1265</v>
      </c>
      <c r="E26" s="24">
        <v>2520</v>
      </c>
      <c r="F26" s="30" t="s">
        <v>1252</v>
      </c>
      <c r="G26" s="24" t="s">
        <v>1222</v>
      </c>
      <c r="H26" s="24" t="s">
        <v>49</v>
      </c>
      <c r="I26" s="24" t="s">
        <v>1237</v>
      </c>
      <c r="K26" s="24" t="s">
        <v>1224</v>
      </c>
      <c r="L26" s="24" t="s">
        <v>1225</v>
      </c>
      <c r="M26" s="24" t="str">
        <f t="shared" si="0"/>
        <v>XALPPA01</v>
      </c>
    </row>
    <row r="27" spans="1:13" ht="13.2">
      <c r="A27" s="24" t="s">
        <v>71</v>
      </c>
      <c r="B27" s="24" t="s">
        <v>1220</v>
      </c>
      <c r="C27" s="24">
        <v>0.5</v>
      </c>
      <c r="D27" s="24">
        <v>1265</v>
      </c>
      <c r="E27" s="24">
        <v>2520</v>
      </c>
      <c r="F27" s="30" t="s">
        <v>1252</v>
      </c>
      <c r="G27" s="24" t="s">
        <v>1222</v>
      </c>
      <c r="H27" s="24" t="s">
        <v>49</v>
      </c>
      <c r="I27" s="24" t="s">
        <v>1237</v>
      </c>
      <c r="K27" s="24" t="s">
        <v>1224</v>
      </c>
      <c r="L27" s="24" t="s">
        <v>1225</v>
      </c>
      <c r="M27" s="24" t="str">
        <f t="shared" si="0"/>
        <v>XALPPA01</v>
      </c>
    </row>
    <row r="28" spans="1:13" ht="13.2">
      <c r="A28" s="24" t="s">
        <v>1254</v>
      </c>
      <c r="B28" s="24" t="s">
        <v>1220</v>
      </c>
      <c r="C28" s="24">
        <v>0.5</v>
      </c>
      <c r="D28" s="24">
        <v>1265</v>
      </c>
      <c r="E28" s="24">
        <v>2520</v>
      </c>
      <c r="F28" s="30" t="s">
        <v>1252</v>
      </c>
      <c r="G28" s="24" t="s">
        <v>1222</v>
      </c>
      <c r="H28" s="24" t="s">
        <v>49</v>
      </c>
      <c r="I28" s="24" t="s">
        <v>1255</v>
      </c>
      <c r="K28" s="24" t="s">
        <v>1224</v>
      </c>
      <c r="L28" s="24" t="s">
        <v>1225</v>
      </c>
      <c r="M28" s="24" t="str">
        <f t="shared" si="0"/>
        <v>XALPPA04</v>
      </c>
    </row>
    <row r="29" spans="1:13" ht="13.2">
      <c r="A29" s="24" t="s">
        <v>84</v>
      </c>
      <c r="B29" s="24" t="s">
        <v>1220</v>
      </c>
      <c r="C29" s="24">
        <v>0.5</v>
      </c>
      <c r="D29" s="24">
        <v>1265</v>
      </c>
      <c r="E29" s="24">
        <v>2520</v>
      </c>
      <c r="F29" s="30" t="s">
        <v>1252</v>
      </c>
      <c r="G29" s="24" t="s">
        <v>1222</v>
      </c>
      <c r="H29" s="24" t="s">
        <v>49</v>
      </c>
      <c r="I29" s="24" t="s">
        <v>1255</v>
      </c>
      <c r="K29" s="24" t="s">
        <v>1224</v>
      </c>
      <c r="L29" s="24" t="s">
        <v>1225</v>
      </c>
      <c r="M29" s="24" t="str">
        <f t="shared" si="0"/>
        <v>XALPPA04</v>
      </c>
    </row>
    <row r="30" spans="1:13" ht="13.2">
      <c r="A30" s="24" t="s">
        <v>1256</v>
      </c>
      <c r="B30" s="24" t="s">
        <v>1220</v>
      </c>
      <c r="C30" s="24">
        <v>0.5</v>
      </c>
      <c r="D30" s="24">
        <v>1265</v>
      </c>
      <c r="E30" s="24">
        <v>2520</v>
      </c>
      <c r="F30" s="30" t="s">
        <v>1252</v>
      </c>
      <c r="G30" s="24" t="s">
        <v>1222</v>
      </c>
      <c r="H30" s="24" t="s">
        <v>1257</v>
      </c>
      <c r="I30" s="24" t="s">
        <v>1237</v>
      </c>
      <c r="K30" s="24" t="s">
        <v>1224</v>
      </c>
      <c r="L30" s="24" t="s">
        <v>1225</v>
      </c>
      <c r="M30" s="24" t="str">
        <f t="shared" si="0"/>
        <v>XALPPA02</v>
      </c>
    </row>
    <row r="31" spans="1:13" ht="13.2">
      <c r="A31" s="24" t="s">
        <v>1258</v>
      </c>
      <c r="B31" s="24" t="s">
        <v>1220</v>
      </c>
      <c r="C31" s="24">
        <v>0.5</v>
      </c>
      <c r="D31" s="24">
        <v>1265</v>
      </c>
      <c r="E31" s="24">
        <v>2520</v>
      </c>
      <c r="F31" s="30" t="s">
        <v>1252</v>
      </c>
      <c r="G31" s="24" t="s">
        <v>1222</v>
      </c>
      <c r="H31" s="24" t="s">
        <v>1257</v>
      </c>
      <c r="I31" s="24" t="s">
        <v>1237</v>
      </c>
      <c r="K31" s="24" t="s">
        <v>1224</v>
      </c>
      <c r="L31" s="24" t="s">
        <v>1225</v>
      </c>
      <c r="M31" s="24" t="str">
        <f t="shared" si="0"/>
        <v>XALPPA02</v>
      </c>
    </row>
    <row r="32" spans="1:13" ht="13.2">
      <c r="A32" s="24" t="s">
        <v>1259</v>
      </c>
      <c r="B32" s="24" t="s">
        <v>1220</v>
      </c>
      <c r="C32" s="24">
        <v>0.5</v>
      </c>
      <c r="D32" s="24">
        <v>1265</v>
      </c>
      <c r="E32" s="24">
        <v>2520</v>
      </c>
      <c r="F32" s="30" t="s">
        <v>1252</v>
      </c>
      <c r="G32" s="24" t="s">
        <v>1222</v>
      </c>
      <c r="H32" s="24" t="s">
        <v>1260</v>
      </c>
      <c r="I32" s="24" t="s">
        <v>1237</v>
      </c>
      <c r="K32" s="24" t="s">
        <v>1224</v>
      </c>
      <c r="L32" s="24" t="s">
        <v>1225</v>
      </c>
      <c r="M32" s="24" t="str">
        <f t="shared" si="0"/>
        <v>XALPPA03</v>
      </c>
    </row>
    <row r="33" spans="1:13" ht="13.2">
      <c r="A33" s="24" t="s">
        <v>1261</v>
      </c>
      <c r="B33" s="24" t="s">
        <v>1220</v>
      </c>
      <c r="C33" s="24">
        <v>0.5</v>
      </c>
      <c r="D33" s="24">
        <v>1265</v>
      </c>
      <c r="E33" s="24">
        <v>2520</v>
      </c>
      <c r="F33" s="30" t="s">
        <v>1252</v>
      </c>
      <c r="G33" s="24" t="s">
        <v>1222</v>
      </c>
      <c r="H33" s="24" t="s">
        <v>1260</v>
      </c>
      <c r="I33" s="24" t="s">
        <v>1237</v>
      </c>
      <c r="K33" s="24" t="s">
        <v>1224</v>
      </c>
      <c r="L33" s="24" t="s">
        <v>1225</v>
      </c>
      <c r="M33" s="24" t="str">
        <f t="shared" si="0"/>
        <v>XALPPA03</v>
      </c>
    </row>
    <row r="34" spans="1:13" ht="13.2">
      <c r="A34" s="24" t="s">
        <v>1262</v>
      </c>
      <c r="B34" s="24" t="s">
        <v>1220</v>
      </c>
      <c r="C34" s="24">
        <v>0.5</v>
      </c>
      <c r="D34" s="24">
        <v>1265</v>
      </c>
      <c r="E34" s="24">
        <v>1900</v>
      </c>
      <c r="F34" s="30" t="s">
        <v>1252</v>
      </c>
      <c r="G34" s="24" t="s">
        <v>1222</v>
      </c>
      <c r="H34" s="24" t="s">
        <v>1137</v>
      </c>
      <c r="I34" s="24" t="s">
        <v>1223</v>
      </c>
      <c r="K34" s="24" t="s">
        <v>1224</v>
      </c>
      <c r="L34" s="24" t="s">
        <v>1225</v>
      </c>
      <c r="M34" s="24" t="str">
        <f t="shared" si="0"/>
        <v>XALPBB02</v>
      </c>
    </row>
    <row r="35" spans="1:13" ht="13.2">
      <c r="A35" s="24" t="s">
        <v>1263</v>
      </c>
      <c r="B35" s="24" t="s">
        <v>1220</v>
      </c>
      <c r="C35" s="24">
        <v>0.5</v>
      </c>
      <c r="D35" s="24">
        <v>1265</v>
      </c>
      <c r="E35" s="24">
        <v>1900</v>
      </c>
      <c r="F35" s="30" t="s">
        <v>1252</v>
      </c>
      <c r="G35" s="24" t="s">
        <v>1222</v>
      </c>
      <c r="H35" s="24" t="s">
        <v>1137</v>
      </c>
      <c r="I35" s="24" t="s">
        <v>1223</v>
      </c>
      <c r="K35" s="24" t="s">
        <v>1224</v>
      </c>
      <c r="L35" s="24" t="s">
        <v>1225</v>
      </c>
      <c r="M35" s="24" t="str">
        <f t="shared" si="0"/>
        <v>XALPBB02</v>
      </c>
    </row>
    <row r="36" spans="1:13" ht="13.2">
      <c r="A36" s="24" t="s">
        <v>1264</v>
      </c>
      <c r="B36" s="24" t="s">
        <v>1220</v>
      </c>
      <c r="C36" s="24">
        <v>0.5</v>
      </c>
      <c r="D36" s="24">
        <v>1265</v>
      </c>
      <c r="E36" s="24">
        <v>2520</v>
      </c>
      <c r="F36" s="30" t="s">
        <v>1221</v>
      </c>
      <c r="G36" s="24" t="s">
        <v>1222</v>
      </c>
      <c r="H36" s="24" t="s">
        <v>1137</v>
      </c>
      <c r="I36" s="24" t="s">
        <v>1223</v>
      </c>
      <c r="K36" s="24" t="s">
        <v>1224</v>
      </c>
      <c r="L36" s="24" t="s">
        <v>1225</v>
      </c>
      <c r="M36" s="24" t="str">
        <f t="shared" si="0"/>
        <v>XALPBB01</v>
      </c>
    </row>
    <row r="37" spans="1:13" ht="13.2">
      <c r="A37" s="24" t="s">
        <v>1265</v>
      </c>
      <c r="B37" s="24" t="s">
        <v>1220</v>
      </c>
      <c r="C37" s="24">
        <v>0.5</v>
      </c>
      <c r="D37" s="24">
        <v>1265</v>
      </c>
      <c r="E37" s="24">
        <v>2520</v>
      </c>
      <c r="F37" s="30" t="s">
        <v>1252</v>
      </c>
      <c r="G37" s="24" t="s">
        <v>1222</v>
      </c>
      <c r="H37" s="24" t="s">
        <v>1137</v>
      </c>
      <c r="I37" s="24" t="s">
        <v>1223</v>
      </c>
      <c r="K37" s="24" t="s">
        <v>1224</v>
      </c>
      <c r="L37" s="24" t="s">
        <v>1225</v>
      </c>
      <c r="M37" s="24" t="str">
        <f t="shared" si="0"/>
        <v>XALPBB03</v>
      </c>
    </row>
    <row r="38" spans="1:13" ht="13.2">
      <c r="A38" s="24" t="s">
        <v>76</v>
      </c>
      <c r="B38" s="24" t="s">
        <v>1220</v>
      </c>
      <c r="C38" s="24">
        <v>0.5</v>
      </c>
      <c r="D38" s="24">
        <v>1265</v>
      </c>
      <c r="E38" s="24">
        <v>2520</v>
      </c>
      <c r="F38" s="30" t="s">
        <v>1221</v>
      </c>
      <c r="G38" s="24" t="s">
        <v>1222</v>
      </c>
      <c r="H38" s="24" t="s">
        <v>1137</v>
      </c>
      <c r="I38" s="24" t="s">
        <v>1223</v>
      </c>
      <c r="K38" s="24" t="s">
        <v>1224</v>
      </c>
      <c r="L38" s="24" t="s">
        <v>1225</v>
      </c>
      <c r="M38" s="24" t="str">
        <f t="shared" si="0"/>
        <v>XALPBB01</v>
      </c>
    </row>
    <row r="39" spans="1:13" ht="13.2">
      <c r="A39" s="24" t="s">
        <v>63</v>
      </c>
      <c r="B39" s="24" t="s">
        <v>1220</v>
      </c>
      <c r="C39" s="24">
        <v>0.5</v>
      </c>
      <c r="D39" s="24">
        <v>1265</v>
      </c>
      <c r="E39" s="24">
        <v>2520</v>
      </c>
      <c r="F39" s="30" t="s">
        <v>1252</v>
      </c>
      <c r="G39" s="24" t="s">
        <v>1222</v>
      </c>
      <c r="H39" s="24" t="s">
        <v>1137</v>
      </c>
      <c r="I39" s="24" t="s">
        <v>1223</v>
      </c>
      <c r="K39" s="24" t="s">
        <v>1224</v>
      </c>
      <c r="L39" s="24" t="s">
        <v>1225</v>
      </c>
      <c r="M39" s="24" t="str">
        <f t="shared" si="0"/>
        <v>XALPBB03</v>
      </c>
    </row>
    <row r="40" spans="1:13" ht="13.2">
      <c r="A40" s="24" t="s">
        <v>1266</v>
      </c>
      <c r="B40" s="24" t="s">
        <v>1220</v>
      </c>
      <c r="C40" s="24">
        <v>0.5</v>
      </c>
      <c r="D40" s="24">
        <v>1265</v>
      </c>
      <c r="E40" s="24">
        <v>1900</v>
      </c>
      <c r="F40" s="30" t="s">
        <v>1252</v>
      </c>
      <c r="G40" s="24" t="s">
        <v>1222</v>
      </c>
      <c r="H40" s="24" t="s">
        <v>1137</v>
      </c>
      <c r="I40" s="24" t="s">
        <v>1237</v>
      </c>
      <c r="K40" s="24" t="s">
        <v>1224</v>
      </c>
      <c r="L40" s="24" t="s">
        <v>1225</v>
      </c>
      <c r="M40" s="24" t="str">
        <f t="shared" si="0"/>
        <v>XALPPB02</v>
      </c>
    </row>
    <row r="41" spans="1:13" ht="13.2">
      <c r="A41" s="24" t="s">
        <v>1267</v>
      </c>
      <c r="B41" s="24" t="s">
        <v>1220</v>
      </c>
      <c r="C41" s="24">
        <v>0.5</v>
      </c>
      <c r="D41" s="24">
        <v>1265</v>
      </c>
      <c r="E41" s="24">
        <v>1900</v>
      </c>
      <c r="F41" s="30" t="s">
        <v>1252</v>
      </c>
      <c r="G41" s="24" t="s">
        <v>1222</v>
      </c>
      <c r="H41" s="24" t="s">
        <v>1137</v>
      </c>
      <c r="I41" s="24" t="s">
        <v>1237</v>
      </c>
      <c r="K41" s="24" t="s">
        <v>1224</v>
      </c>
      <c r="L41" s="24" t="s">
        <v>1225</v>
      </c>
      <c r="M41" s="24" t="str">
        <f t="shared" si="0"/>
        <v>XALPPB02</v>
      </c>
    </row>
    <row r="42" spans="1:13" ht="13.2">
      <c r="A42" s="24" t="s">
        <v>1268</v>
      </c>
      <c r="B42" s="24" t="s">
        <v>1220</v>
      </c>
      <c r="C42" s="24">
        <v>0.5</v>
      </c>
      <c r="D42" s="24">
        <v>1265</v>
      </c>
      <c r="E42" s="24">
        <v>2520</v>
      </c>
      <c r="F42" s="30" t="s">
        <v>1221</v>
      </c>
      <c r="G42" s="24" t="s">
        <v>1222</v>
      </c>
      <c r="H42" s="24" t="s">
        <v>1137</v>
      </c>
      <c r="I42" s="24" t="s">
        <v>1237</v>
      </c>
      <c r="K42" s="24" t="s">
        <v>1224</v>
      </c>
      <c r="L42" s="24" t="s">
        <v>1225</v>
      </c>
      <c r="M42" s="24" t="str">
        <f t="shared" si="0"/>
        <v>XALPPB01</v>
      </c>
    </row>
    <row r="43" spans="1:13" ht="13.2">
      <c r="A43" s="24" t="s">
        <v>1269</v>
      </c>
      <c r="B43" s="24" t="s">
        <v>1220</v>
      </c>
      <c r="C43" s="24">
        <v>0.5</v>
      </c>
      <c r="D43" s="24">
        <v>1265</v>
      </c>
      <c r="E43" s="24">
        <v>2520</v>
      </c>
      <c r="F43" s="30" t="s">
        <v>1252</v>
      </c>
      <c r="G43" s="24" t="s">
        <v>1222</v>
      </c>
      <c r="H43" s="24" t="s">
        <v>1137</v>
      </c>
      <c r="I43" s="24" t="s">
        <v>1237</v>
      </c>
      <c r="K43" s="24" t="s">
        <v>1224</v>
      </c>
      <c r="L43" s="24" t="s">
        <v>1225</v>
      </c>
      <c r="M43" s="24" t="str">
        <f t="shared" si="0"/>
        <v>XALPPB03</v>
      </c>
    </row>
    <row r="44" spans="1:13" ht="13.2">
      <c r="A44" s="24" t="s">
        <v>79</v>
      </c>
      <c r="B44" s="24" t="s">
        <v>1220</v>
      </c>
      <c r="C44" s="24">
        <v>0.5</v>
      </c>
      <c r="D44" s="24">
        <v>1265</v>
      </c>
      <c r="E44" s="24">
        <v>2520</v>
      </c>
      <c r="F44" s="30" t="s">
        <v>1221</v>
      </c>
      <c r="G44" s="24" t="s">
        <v>1222</v>
      </c>
      <c r="H44" s="24" t="s">
        <v>1137</v>
      </c>
      <c r="I44" s="24" t="s">
        <v>1237</v>
      </c>
      <c r="K44" s="24" t="s">
        <v>1224</v>
      </c>
      <c r="L44" s="24" t="s">
        <v>1225</v>
      </c>
      <c r="M44" s="24" t="str">
        <f t="shared" si="0"/>
        <v>XALPPB01</v>
      </c>
    </row>
    <row r="45" spans="1:13" ht="13.2">
      <c r="A45" s="24" t="s">
        <v>90</v>
      </c>
      <c r="B45" s="24" t="s">
        <v>1220</v>
      </c>
      <c r="C45" s="24">
        <v>0.5</v>
      </c>
      <c r="D45" s="24">
        <v>1265</v>
      </c>
      <c r="E45" s="24">
        <v>2520</v>
      </c>
      <c r="F45" s="30" t="s">
        <v>1252</v>
      </c>
      <c r="G45" s="24" t="s">
        <v>1222</v>
      </c>
      <c r="H45" s="24" t="s">
        <v>1137</v>
      </c>
      <c r="I45" s="24" t="s">
        <v>1237</v>
      </c>
      <c r="K45" s="24" t="s">
        <v>1224</v>
      </c>
      <c r="L45" s="24" t="s">
        <v>1225</v>
      </c>
      <c r="M45" s="24" t="str">
        <f t="shared" si="0"/>
        <v>XALPPB03</v>
      </c>
    </row>
    <row r="46" spans="1:13" ht="13.2">
      <c r="A46" s="24" t="s">
        <v>1270</v>
      </c>
      <c r="B46" s="24" t="s">
        <v>1220</v>
      </c>
      <c r="C46" s="24">
        <v>0.5</v>
      </c>
      <c r="D46" s="24">
        <v>1265</v>
      </c>
      <c r="E46" s="24">
        <v>2520</v>
      </c>
      <c r="F46" s="30" t="s">
        <v>1252</v>
      </c>
      <c r="G46" s="24" t="s">
        <v>1222</v>
      </c>
      <c r="H46" s="24" t="s">
        <v>1137</v>
      </c>
      <c r="I46" s="24" t="s">
        <v>1255</v>
      </c>
      <c r="K46" s="24" t="s">
        <v>1224</v>
      </c>
      <c r="L46" s="24" t="s">
        <v>1225</v>
      </c>
      <c r="M46" s="24" t="str">
        <f t="shared" si="0"/>
        <v>XALPPB04</v>
      </c>
    </row>
    <row r="47" spans="1:13" ht="13.2">
      <c r="A47" s="24" t="s">
        <v>85</v>
      </c>
      <c r="B47" s="24" t="s">
        <v>1220</v>
      </c>
      <c r="C47" s="24">
        <v>0.5</v>
      </c>
      <c r="D47" s="24">
        <v>1265</v>
      </c>
      <c r="E47" s="24">
        <v>2520</v>
      </c>
      <c r="F47" s="30" t="s">
        <v>1252</v>
      </c>
      <c r="G47" s="24" t="s">
        <v>1222</v>
      </c>
      <c r="H47" s="24" t="s">
        <v>1137</v>
      </c>
      <c r="I47" s="24" t="s">
        <v>1255</v>
      </c>
      <c r="K47" s="24" t="s">
        <v>1224</v>
      </c>
      <c r="L47" s="24" t="s">
        <v>1225</v>
      </c>
      <c r="M47" s="24" t="str">
        <f t="shared" si="0"/>
        <v>XALPPB04</v>
      </c>
    </row>
    <row r="48" spans="1:13" ht="13.2">
      <c r="A48" s="24" t="s">
        <v>1271</v>
      </c>
      <c r="B48" s="24" t="s">
        <v>1220</v>
      </c>
      <c r="C48" s="24">
        <v>0.5</v>
      </c>
      <c r="D48" s="24">
        <v>1265</v>
      </c>
      <c r="E48" s="24">
        <v>1900</v>
      </c>
      <c r="F48" s="30" t="s">
        <v>1252</v>
      </c>
      <c r="G48" s="24" t="s">
        <v>1222</v>
      </c>
      <c r="H48" s="24" t="s">
        <v>1137</v>
      </c>
      <c r="I48" s="24" t="s">
        <v>1232</v>
      </c>
      <c r="K48" s="24" t="s">
        <v>1224</v>
      </c>
      <c r="L48" s="24" t="s">
        <v>1225</v>
      </c>
      <c r="M48" s="24" t="str">
        <f t="shared" si="0"/>
        <v>XALPSB02</v>
      </c>
    </row>
    <row r="49" spans="1:13" ht="13.2">
      <c r="A49" s="24" t="s">
        <v>1272</v>
      </c>
      <c r="B49" s="24" t="s">
        <v>1220</v>
      </c>
      <c r="C49" s="24">
        <v>0.5</v>
      </c>
      <c r="D49" s="24">
        <v>1265</v>
      </c>
      <c r="E49" s="24">
        <v>1900</v>
      </c>
      <c r="F49" s="30" t="s">
        <v>1252</v>
      </c>
      <c r="G49" s="24" t="s">
        <v>1222</v>
      </c>
      <c r="H49" s="24" t="s">
        <v>1137</v>
      </c>
      <c r="I49" s="24" t="s">
        <v>1232</v>
      </c>
      <c r="K49" s="24" t="s">
        <v>1224</v>
      </c>
      <c r="L49" s="24" t="s">
        <v>1225</v>
      </c>
      <c r="M49" s="24" t="str">
        <f t="shared" si="0"/>
        <v>XALPSB02</v>
      </c>
    </row>
    <row r="50" spans="1:13" ht="13.2">
      <c r="A50" s="24" t="s">
        <v>1273</v>
      </c>
      <c r="B50" s="24" t="s">
        <v>1220</v>
      </c>
      <c r="C50" s="24">
        <v>0.5</v>
      </c>
      <c r="D50" s="24">
        <v>1265</v>
      </c>
      <c r="E50" s="24">
        <v>2520</v>
      </c>
      <c r="F50" s="30" t="s">
        <v>1221</v>
      </c>
      <c r="G50" s="24" t="s">
        <v>1222</v>
      </c>
      <c r="H50" s="24" t="s">
        <v>1137</v>
      </c>
      <c r="I50" s="24" t="s">
        <v>1232</v>
      </c>
      <c r="K50" s="24" t="s">
        <v>1224</v>
      </c>
      <c r="L50" s="24" t="s">
        <v>1225</v>
      </c>
      <c r="M50" s="24" t="str">
        <f t="shared" si="0"/>
        <v>XALPSB01</v>
      </c>
    </row>
    <row r="51" spans="1:13" ht="13.2">
      <c r="A51" s="24" t="s">
        <v>94</v>
      </c>
      <c r="B51" s="24" t="s">
        <v>1220</v>
      </c>
      <c r="C51" s="24">
        <v>0.5</v>
      </c>
      <c r="D51" s="24">
        <v>1265</v>
      </c>
      <c r="E51" s="24">
        <v>2520</v>
      </c>
      <c r="F51" s="30" t="s">
        <v>1221</v>
      </c>
      <c r="G51" s="24" t="s">
        <v>1222</v>
      </c>
      <c r="H51" s="24" t="s">
        <v>1137</v>
      </c>
      <c r="I51" s="24" t="s">
        <v>1232</v>
      </c>
      <c r="K51" s="24" t="s">
        <v>1224</v>
      </c>
      <c r="L51" s="24" t="s">
        <v>1225</v>
      </c>
      <c r="M51" s="24" t="str">
        <f t="shared" si="0"/>
        <v>XALPSB01</v>
      </c>
    </row>
    <row r="52" spans="1:13" ht="13.2">
      <c r="A52" s="24" t="s">
        <v>1274</v>
      </c>
      <c r="B52" s="24" t="s">
        <v>1220</v>
      </c>
      <c r="C52" s="24">
        <v>0.5</v>
      </c>
      <c r="D52" s="24">
        <v>1265</v>
      </c>
      <c r="E52" s="24">
        <v>2520</v>
      </c>
      <c r="F52" s="30" t="s">
        <v>1252</v>
      </c>
      <c r="G52" s="24" t="s">
        <v>1222</v>
      </c>
      <c r="H52" s="24" t="s">
        <v>1275</v>
      </c>
      <c r="I52" s="24" t="s">
        <v>1223</v>
      </c>
      <c r="K52" s="24" t="s">
        <v>1224</v>
      </c>
      <c r="L52" s="24" t="s">
        <v>1225</v>
      </c>
      <c r="M52" s="24" t="str">
        <f t="shared" si="0"/>
        <v>XALPBB04</v>
      </c>
    </row>
    <row r="53" spans="1:13" ht="13.2">
      <c r="A53" s="24" t="s">
        <v>1276</v>
      </c>
      <c r="B53" s="24" t="s">
        <v>1220</v>
      </c>
      <c r="C53" s="24">
        <v>0.5</v>
      </c>
      <c r="D53" s="24">
        <v>1265</v>
      </c>
      <c r="E53" s="24">
        <v>2520</v>
      </c>
      <c r="F53" s="30" t="s">
        <v>1252</v>
      </c>
      <c r="G53" s="24" t="s">
        <v>1222</v>
      </c>
      <c r="H53" s="24" t="s">
        <v>1275</v>
      </c>
      <c r="I53" s="24" t="s">
        <v>1223</v>
      </c>
      <c r="K53" s="24" t="s">
        <v>1224</v>
      </c>
      <c r="L53" s="24" t="s">
        <v>1225</v>
      </c>
      <c r="M53" s="24" t="str">
        <f t="shared" si="0"/>
        <v>XALPBB04</v>
      </c>
    </row>
    <row r="54" spans="1:13" ht="13.2">
      <c r="A54" s="24" t="s">
        <v>1277</v>
      </c>
      <c r="B54" s="24" t="s">
        <v>1220</v>
      </c>
      <c r="C54" s="24">
        <v>0.5</v>
      </c>
      <c r="D54" s="24">
        <v>1265</v>
      </c>
      <c r="E54" s="24">
        <v>2520</v>
      </c>
      <c r="F54" s="30" t="s">
        <v>1252</v>
      </c>
      <c r="G54" s="24" t="s">
        <v>1222</v>
      </c>
      <c r="H54" s="24" t="s">
        <v>1278</v>
      </c>
      <c r="I54" s="24" t="s">
        <v>1237</v>
      </c>
      <c r="K54" s="24" t="s">
        <v>1224</v>
      </c>
      <c r="L54" s="24" t="s">
        <v>1225</v>
      </c>
      <c r="M54" s="24" t="str">
        <f t="shared" si="0"/>
        <v>XALPPC01</v>
      </c>
    </row>
    <row r="55" spans="1:13" ht="13.2">
      <c r="A55" s="24" t="s">
        <v>55</v>
      </c>
      <c r="B55" s="24" t="s">
        <v>1220</v>
      </c>
      <c r="C55" s="24">
        <v>0.5</v>
      </c>
      <c r="D55" s="24">
        <v>1265</v>
      </c>
      <c r="E55" s="24">
        <v>2520</v>
      </c>
      <c r="F55" s="30" t="s">
        <v>1252</v>
      </c>
      <c r="G55" s="24" t="s">
        <v>1222</v>
      </c>
      <c r="H55" s="24" t="s">
        <v>1278</v>
      </c>
      <c r="I55" s="24" t="s">
        <v>1237</v>
      </c>
      <c r="K55" s="24" t="s">
        <v>1224</v>
      </c>
      <c r="L55" s="24" t="s">
        <v>1225</v>
      </c>
      <c r="M55" s="24" t="str">
        <f t="shared" si="0"/>
        <v>XALPPC01</v>
      </c>
    </row>
    <row r="56" spans="1:13" ht="13.2">
      <c r="A56" s="24" t="s">
        <v>1279</v>
      </c>
      <c r="B56" s="24" t="s">
        <v>1220</v>
      </c>
      <c r="C56" s="24">
        <v>0.5</v>
      </c>
      <c r="D56" s="24">
        <v>1265</v>
      </c>
      <c r="E56" s="24">
        <v>2520</v>
      </c>
      <c r="F56" s="30" t="s">
        <v>1252</v>
      </c>
      <c r="G56" s="24" t="s">
        <v>1222</v>
      </c>
      <c r="H56" s="24" t="s">
        <v>1280</v>
      </c>
      <c r="I56" s="24" t="s">
        <v>1237</v>
      </c>
      <c r="K56" s="24" t="s">
        <v>1224</v>
      </c>
      <c r="L56" s="24" t="s">
        <v>1225</v>
      </c>
      <c r="M56" s="24" t="str">
        <f t="shared" si="0"/>
        <v>XALPPC03</v>
      </c>
    </row>
    <row r="57" spans="1:13" ht="13.2">
      <c r="A57" s="24" t="s">
        <v>1281</v>
      </c>
      <c r="B57" s="24" t="s">
        <v>1220</v>
      </c>
      <c r="C57" s="24">
        <v>0.5</v>
      </c>
      <c r="D57" s="24">
        <v>1265</v>
      </c>
      <c r="E57" s="24">
        <v>2520</v>
      </c>
      <c r="F57" s="30" t="s">
        <v>1252</v>
      </c>
      <c r="G57" s="24" t="s">
        <v>1222</v>
      </c>
      <c r="H57" s="24" t="s">
        <v>1280</v>
      </c>
      <c r="I57" s="24" t="s">
        <v>1237</v>
      </c>
      <c r="K57" s="24" t="s">
        <v>1224</v>
      </c>
      <c r="L57" s="24" t="s">
        <v>1225</v>
      </c>
      <c r="M57" s="24" t="str">
        <f t="shared" si="0"/>
        <v>XALPPC03</v>
      </c>
    </row>
    <row r="58" spans="1:13" ht="13.2">
      <c r="A58" s="24" t="s">
        <v>1282</v>
      </c>
      <c r="B58" s="24" t="s">
        <v>1220</v>
      </c>
      <c r="C58" s="24">
        <v>0.5</v>
      </c>
      <c r="D58" s="24">
        <v>1265</v>
      </c>
      <c r="E58" s="24">
        <v>2520</v>
      </c>
      <c r="F58" s="30" t="s">
        <v>1252</v>
      </c>
      <c r="G58" s="24" t="s">
        <v>1222</v>
      </c>
      <c r="H58" s="24" t="s">
        <v>1283</v>
      </c>
      <c r="I58" s="24" t="s">
        <v>1237</v>
      </c>
      <c r="K58" s="24" t="s">
        <v>1224</v>
      </c>
      <c r="L58" s="24" t="s">
        <v>1225</v>
      </c>
      <c r="M58" s="24" t="str">
        <f t="shared" si="0"/>
        <v>XALPPC02</v>
      </c>
    </row>
    <row r="59" spans="1:13" ht="13.2">
      <c r="A59" s="24" t="s">
        <v>1284</v>
      </c>
      <c r="B59" s="24" t="s">
        <v>1220</v>
      </c>
      <c r="C59" s="24">
        <v>0.5</v>
      </c>
      <c r="D59" s="24">
        <v>1265</v>
      </c>
      <c r="E59" s="24">
        <v>2520</v>
      </c>
      <c r="F59" s="30" t="s">
        <v>1252</v>
      </c>
      <c r="G59" s="24" t="s">
        <v>1222</v>
      </c>
      <c r="H59" s="24" t="s">
        <v>1283</v>
      </c>
      <c r="I59" s="24" t="s">
        <v>1237</v>
      </c>
      <c r="K59" s="24" t="s">
        <v>1224</v>
      </c>
      <c r="L59" s="24" t="s">
        <v>1225</v>
      </c>
      <c r="M59" s="24" t="str">
        <f t="shared" si="0"/>
        <v>XALPPC02</v>
      </c>
    </row>
    <row r="60" spans="1:13" ht="13.2">
      <c r="A60" s="24" t="s">
        <v>1285</v>
      </c>
      <c r="B60" s="24" t="s">
        <v>1220</v>
      </c>
      <c r="C60" s="24">
        <v>0.5</v>
      </c>
      <c r="D60" s="24">
        <v>1265</v>
      </c>
      <c r="E60" s="24">
        <v>2520</v>
      </c>
      <c r="F60" s="30" t="s">
        <v>1240</v>
      </c>
      <c r="G60" s="24" t="s">
        <v>1222</v>
      </c>
      <c r="H60" s="24" t="s">
        <v>1286</v>
      </c>
      <c r="I60" s="24" t="s">
        <v>1237</v>
      </c>
      <c r="K60" s="24" t="s">
        <v>1224</v>
      </c>
      <c r="L60" s="24" t="s">
        <v>1225</v>
      </c>
      <c r="M60" s="24" t="str">
        <f t="shared" si="0"/>
        <v>XALPPR01</v>
      </c>
    </row>
    <row r="61" spans="1:13" ht="13.2">
      <c r="A61" s="24" t="s">
        <v>120</v>
      </c>
      <c r="B61" s="24" t="s">
        <v>1220</v>
      </c>
      <c r="C61" s="24">
        <v>0.5</v>
      </c>
      <c r="D61" s="24">
        <v>1265</v>
      </c>
      <c r="E61" s="24">
        <v>2520</v>
      </c>
      <c r="F61" s="30" t="s">
        <v>1240</v>
      </c>
      <c r="G61" s="24" t="s">
        <v>1222</v>
      </c>
      <c r="H61" s="24" t="s">
        <v>1286</v>
      </c>
      <c r="I61" s="24" t="s">
        <v>1237</v>
      </c>
      <c r="K61" s="24" t="s">
        <v>1224</v>
      </c>
      <c r="L61" s="24" t="s">
        <v>1225</v>
      </c>
      <c r="M61" s="24" t="str">
        <f t="shared" si="0"/>
        <v>XALPPR01</v>
      </c>
    </row>
    <row r="62" spans="1:13" ht="13.2">
      <c r="A62" s="24" t="s">
        <v>1287</v>
      </c>
      <c r="B62" s="24" t="s">
        <v>1220</v>
      </c>
      <c r="C62" s="24">
        <v>0.5</v>
      </c>
      <c r="D62" s="24">
        <v>1265</v>
      </c>
      <c r="E62" s="24">
        <v>2520</v>
      </c>
      <c r="F62" s="30" t="s">
        <v>1252</v>
      </c>
      <c r="G62" s="24" t="s">
        <v>1222</v>
      </c>
      <c r="H62" s="24" t="s">
        <v>1288</v>
      </c>
      <c r="I62" s="24" t="s">
        <v>1237</v>
      </c>
      <c r="K62" s="24" t="s">
        <v>1224</v>
      </c>
      <c r="L62" s="24" t="s">
        <v>1225</v>
      </c>
      <c r="M62" s="24" t="str">
        <f t="shared" si="0"/>
        <v>XALPPR03</v>
      </c>
    </row>
    <row r="63" spans="1:13" ht="13.2">
      <c r="A63" s="24" t="s">
        <v>1289</v>
      </c>
      <c r="B63" s="24" t="s">
        <v>1220</v>
      </c>
      <c r="C63" s="24">
        <v>0.5</v>
      </c>
      <c r="D63" s="24">
        <v>1265</v>
      </c>
      <c r="E63" s="24">
        <v>2520</v>
      </c>
      <c r="F63" s="30" t="s">
        <v>1252</v>
      </c>
      <c r="G63" s="24" t="s">
        <v>1222</v>
      </c>
      <c r="H63" s="24" t="s">
        <v>1288</v>
      </c>
      <c r="I63" s="24" t="s">
        <v>1237</v>
      </c>
      <c r="K63" s="24" t="s">
        <v>1224</v>
      </c>
      <c r="L63" s="24" t="s">
        <v>1225</v>
      </c>
      <c r="M63" s="24" t="str">
        <f t="shared" si="0"/>
        <v>XALPPR03</v>
      </c>
    </row>
    <row r="64" spans="1:13" ht="13.2">
      <c r="A64" s="24" t="s">
        <v>1290</v>
      </c>
      <c r="B64" s="24" t="s">
        <v>1220</v>
      </c>
      <c r="C64" s="24">
        <v>0.5</v>
      </c>
      <c r="D64" s="24">
        <v>1265</v>
      </c>
      <c r="E64" s="24">
        <v>2520</v>
      </c>
      <c r="F64" s="30" t="s">
        <v>1240</v>
      </c>
      <c r="G64" s="24" t="s">
        <v>1222</v>
      </c>
      <c r="H64" s="24" t="s">
        <v>1291</v>
      </c>
      <c r="I64" s="24" t="s">
        <v>1237</v>
      </c>
      <c r="K64" s="24" t="s">
        <v>1224</v>
      </c>
      <c r="L64" s="24" t="s">
        <v>1225</v>
      </c>
      <c r="M64" s="24" t="str">
        <f t="shared" si="0"/>
        <v>XALPPR02</v>
      </c>
    </row>
    <row r="65" spans="1:13" ht="13.2">
      <c r="A65" s="24" t="s">
        <v>116</v>
      </c>
      <c r="B65" s="24" t="s">
        <v>1220</v>
      </c>
      <c r="C65" s="24">
        <v>0.5</v>
      </c>
      <c r="D65" s="24">
        <v>1265</v>
      </c>
      <c r="E65" s="24">
        <v>2520</v>
      </c>
      <c r="F65" s="30" t="s">
        <v>1240</v>
      </c>
      <c r="G65" s="24" t="s">
        <v>1222</v>
      </c>
      <c r="H65" s="24" t="s">
        <v>1291</v>
      </c>
      <c r="I65" s="24" t="s">
        <v>1237</v>
      </c>
      <c r="K65" s="24" t="s">
        <v>1224</v>
      </c>
      <c r="L65" s="24" t="s">
        <v>1225</v>
      </c>
      <c r="M65" s="24" t="str">
        <f t="shared" si="0"/>
        <v>XALPPR02</v>
      </c>
    </row>
    <row r="66" spans="1:13" ht="13.2">
      <c r="A66" s="24" t="s">
        <v>1292</v>
      </c>
      <c r="B66" s="24" t="s">
        <v>1220</v>
      </c>
      <c r="C66" s="24">
        <v>0.5</v>
      </c>
      <c r="D66" s="24">
        <v>1265</v>
      </c>
      <c r="E66" s="24">
        <v>2520</v>
      </c>
      <c r="F66" s="30" t="s">
        <v>1252</v>
      </c>
      <c r="G66" s="24" t="s">
        <v>1222</v>
      </c>
      <c r="H66" s="24" t="s">
        <v>1293</v>
      </c>
      <c r="I66" s="24" t="s">
        <v>1237</v>
      </c>
      <c r="K66" s="24" t="s">
        <v>1224</v>
      </c>
      <c r="L66" s="24" t="s">
        <v>1225</v>
      </c>
      <c r="M66" s="24" t="str">
        <f t="shared" ref="M66:M129" si="1">RIGHT(A66,8)</f>
        <v>XALPPS01</v>
      </c>
    </row>
    <row r="67" spans="1:13" ht="13.2">
      <c r="A67" s="24" t="s">
        <v>127</v>
      </c>
      <c r="B67" s="24" t="s">
        <v>1220</v>
      </c>
      <c r="C67" s="24">
        <v>0.5</v>
      </c>
      <c r="D67" s="24">
        <v>1265</v>
      </c>
      <c r="E67" s="24">
        <v>2520</v>
      </c>
      <c r="F67" s="30" t="s">
        <v>1252</v>
      </c>
      <c r="G67" s="24" t="s">
        <v>1222</v>
      </c>
      <c r="H67" s="24" t="s">
        <v>1293</v>
      </c>
      <c r="I67" s="24" t="s">
        <v>1237</v>
      </c>
      <c r="K67" s="24" t="s">
        <v>1224</v>
      </c>
      <c r="L67" s="24" t="s">
        <v>1225</v>
      </c>
      <c r="M67" s="24" t="str">
        <f t="shared" si="1"/>
        <v>XALPPS01</v>
      </c>
    </row>
    <row r="68" spans="1:13" ht="13.2">
      <c r="A68" s="24" t="s">
        <v>1294</v>
      </c>
      <c r="B68" s="24" t="s">
        <v>1295</v>
      </c>
      <c r="C68" s="24">
        <v>0.3</v>
      </c>
      <c r="D68" s="24">
        <v>1265</v>
      </c>
      <c r="E68" s="24">
        <v>2520</v>
      </c>
      <c r="F68" s="30" t="s">
        <v>1221</v>
      </c>
      <c r="G68" s="24" t="s">
        <v>1296</v>
      </c>
      <c r="H68" s="24" t="s">
        <v>1150</v>
      </c>
      <c r="I68" s="24" t="s">
        <v>1297</v>
      </c>
      <c r="K68" s="24" t="s">
        <v>1224</v>
      </c>
      <c r="L68" s="24" t="s">
        <v>1225</v>
      </c>
      <c r="M68" s="24" t="str">
        <f t="shared" si="1"/>
        <v>XAPRWA03</v>
      </c>
    </row>
    <row r="69" spans="1:13" ht="13.2">
      <c r="A69" s="24" t="s">
        <v>1298</v>
      </c>
      <c r="B69" s="24" t="s">
        <v>1295</v>
      </c>
      <c r="C69" s="24">
        <v>0.3</v>
      </c>
      <c r="D69" s="24">
        <v>1265</v>
      </c>
      <c r="E69" s="24">
        <v>2520</v>
      </c>
      <c r="F69" s="30" t="s">
        <v>1221</v>
      </c>
      <c r="G69" s="24" t="s">
        <v>1296</v>
      </c>
      <c r="H69" s="24" t="s">
        <v>1150</v>
      </c>
      <c r="I69" s="24" t="s">
        <v>1297</v>
      </c>
      <c r="K69" s="24" t="s">
        <v>1224</v>
      </c>
      <c r="L69" s="24" t="s">
        <v>1225</v>
      </c>
      <c r="M69" s="24" t="str">
        <f t="shared" si="1"/>
        <v>XAPRWA03</v>
      </c>
    </row>
    <row r="70" spans="1:13" ht="13.2">
      <c r="A70" s="24" t="s">
        <v>1299</v>
      </c>
      <c r="B70" s="24" t="s">
        <v>1295</v>
      </c>
      <c r="C70" s="24">
        <v>0.3</v>
      </c>
      <c r="D70" s="24">
        <v>1265</v>
      </c>
      <c r="E70" s="24">
        <v>2520</v>
      </c>
      <c r="F70" s="30" t="s">
        <v>1221</v>
      </c>
      <c r="G70" s="24" t="s">
        <v>1296</v>
      </c>
      <c r="H70" s="24" t="s">
        <v>1278</v>
      </c>
      <c r="I70" s="24" t="s">
        <v>1297</v>
      </c>
      <c r="K70" s="24" t="s">
        <v>1224</v>
      </c>
      <c r="L70" s="24" t="s">
        <v>1225</v>
      </c>
      <c r="M70" s="24" t="str">
        <f t="shared" si="1"/>
        <v>XAPRWC04</v>
      </c>
    </row>
    <row r="71" spans="1:13" ht="13.2">
      <c r="A71" s="24" t="s">
        <v>1300</v>
      </c>
      <c r="B71" s="24" t="s">
        <v>1295</v>
      </c>
      <c r="C71" s="24">
        <v>0.3</v>
      </c>
      <c r="D71" s="24">
        <v>1265</v>
      </c>
      <c r="E71" s="24">
        <v>2520</v>
      </c>
      <c r="F71" s="30" t="s">
        <v>1221</v>
      </c>
      <c r="G71" s="24" t="s">
        <v>1296</v>
      </c>
      <c r="H71" s="24" t="s">
        <v>1278</v>
      </c>
      <c r="I71" s="24" t="s">
        <v>1297</v>
      </c>
      <c r="K71" s="24" t="s">
        <v>1224</v>
      </c>
      <c r="L71" s="24" t="s">
        <v>1225</v>
      </c>
      <c r="M71" s="24" t="str">
        <f t="shared" si="1"/>
        <v>XAPRWC04</v>
      </c>
    </row>
    <row r="72" spans="1:13" ht="13.2">
      <c r="A72" s="24" t="s">
        <v>1301</v>
      </c>
      <c r="B72" s="24" t="s">
        <v>1295</v>
      </c>
      <c r="C72" s="24">
        <v>0.3</v>
      </c>
      <c r="D72" s="24">
        <v>1265</v>
      </c>
      <c r="E72" s="24">
        <v>2520</v>
      </c>
      <c r="F72" s="30" t="s">
        <v>1221</v>
      </c>
      <c r="G72" s="24" t="s">
        <v>1296</v>
      </c>
      <c r="H72" s="24" t="s">
        <v>1302</v>
      </c>
      <c r="I72" s="24" t="s">
        <v>1297</v>
      </c>
      <c r="K72" s="24" t="s">
        <v>1224</v>
      </c>
      <c r="L72" s="24" t="s">
        <v>1225</v>
      </c>
      <c r="M72" s="24" t="str">
        <f t="shared" si="1"/>
        <v>XAPRWD01</v>
      </c>
    </row>
    <row r="73" spans="1:13" ht="13.2">
      <c r="A73" s="24" t="s">
        <v>1303</v>
      </c>
      <c r="B73" s="24" t="s">
        <v>1295</v>
      </c>
      <c r="C73" s="24">
        <v>0.3</v>
      </c>
      <c r="D73" s="24">
        <v>1265</v>
      </c>
      <c r="E73" s="24">
        <v>2520</v>
      </c>
      <c r="F73" s="30" t="s">
        <v>1221</v>
      </c>
      <c r="G73" s="24" t="s">
        <v>1296</v>
      </c>
      <c r="H73" s="24" t="s">
        <v>1302</v>
      </c>
      <c r="I73" s="24" t="s">
        <v>1297</v>
      </c>
      <c r="K73" s="24" t="s">
        <v>1224</v>
      </c>
      <c r="L73" s="24" t="s">
        <v>1225</v>
      </c>
      <c r="M73" s="24" t="str">
        <f t="shared" si="1"/>
        <v>XAPRWD01</v>
      </c>
    </row>
    <row r="74" spans="1:13" ht="13.2">
      <c r="A74" s="24" t="s">
        <v>1304</v>
      </c>
      <c r="B74" s="24" t="s">
        <v>1295</v>
      </c>
      <c r="C74" s="24">
        <v>0.3</v>
      </c>
      <c r="D74" s="24">
        <v>1265</v>
      </c>
      <c r="E74" s="24">
        <v>2520</v>
      </c>
      <c r="F74" s="30" t="s">
        <v>1221</v>
      </c>
      <c r="G74" s="24" t="s">
        <v>1296</v>
      </c>
      <c r="H74" s="24" t="s">
        <v>1305</v>
      </c>
      <c r="I74" s="24" t="s">
        <v>1297</v>
      </c>
      <c r="K74" s="24" t="s">
        <v>1224</v>
      </c>
      <c r="L74" s="24" t="s">
        <v>1225</v>
      </c>
      <c r="M74" s="24" t="str">
        <f t="shared" si="1"/>
        <v>XAPRWE01</v>
      </c>
    </row>
    <row r="75" spans="1:13" ht="13.2">
      <c r="A75" s="24" t="s">
        <v>1306</v>
      </c>
      <c r="B75" s="24" t="s">
        <v>1295</v>
      </c>
      <c r="C75" s="24">
        <v>0.3</v>
      </c>
      <c r="D75" s="24">
        <v>1265</v>
      </c>
      <c r="E75" s="24">
        <v>2520</v>
      </c>
      <c r="F75" s="30" t="s">
        <v>1221</v>
      </c>
      <c r="G75" s="24" t="s">
        <v>1296</v>
      </c>
      <c r="H75" s="24" t="s">
        <v>1305</v>
      </c>
      <c r="I75" s="24" t="s">
        <v>1297</v>
      </c>
      <c r="K75" s="24" t="s">
        <v>1224</v>
      </c>
      <c r="L75" s="24" t="s">
        <v>1225</v>
      </c>
      <c r="M75" s="24" t="str">
        <f t="shared" si="1"/>
        <v>XAPRWE01</v>
      </c>
    </row>
    <row r="76" spans="1:13" ht="13.2">
      <c r="A76" s="24" t="s">
        <v>1307</v>
      </c>
      <c r="B76" s="24" t="s">
        <v>1308</v>
      </c>
      <c r="C76" s="24">
        <v>0.35</v>
      </c>
      <c r="D76" s="24">
        <v>1265</v>
      </c>
      <c r="E76" s="24">
        <v>2520</v>
      </c>
      <c r="F76" s="30" t="s">
        <v>1221</v>
      </c>
      <c r="G76" s="24" t="s">
        <v>1296</v>
      </c>
      <c r="H76" s="24" t="s">
        <v>1244</v>
      </c>
      <c r="I76" s="24" t="s">
        <v>1297</v>
      </c>
      <c r="K76" s="24" t="s">
        <v>1224</v>
      </c>
      <c r="L76" s="24" t="s">
        <v>1225</v>
      </c>
      <c r="M76" s="24" t="str">
        <f t="shared" si="1"/>
        <v>XBERW202</v>
      </c>
    </row>
    <row r="77" spans="1:13" ht="13.2">
      <c r="A77" s="24" t="s">
        <v>1309</v>
      </c>
      <c r="B77" s="24" t="s">
        <v>1308</v>
      </c>
      <c r="C77" s="24">
        <v>0.35</v>
      </c>
      <c r="D77" s="24">
        <v>1265</v>
      </c>
      <c r="E77" s="24">
        <v>2520</v>
      </c>
      <c r="F77" s="30" t="s">
        <v>1221</v>
      </c>
      <c r="G77" s="24" t="s">
        <v>1296</v>
      </c>
      <c r="H77" s="24" t="s">
        <v>1244</v>
      </c>
      <c r="I77" s="24" t="s">
        <v>1297</v>
      </c>
      <c r="K77" s="24" t="s">
        <v>1224</v>
      </c>
      <c r="L77" s="24" t="s">
        <v>1225</v>
      </c>
      <c r="M77" s="24" t="str">
        <f t="shared" si="1"/>
        <v>XBERW202</v>
      </c>
    </row>
    <row r="78" spans="1:13" ht="13.2">
      <c r="A78" s="24" t="s">
        <v>1310</v>
      </c>
      <c r="B78" s="24" t="s">
        <v>1308</v>
      </c>
      <c r="C78" s="24">
        <v>0.35</v>
      </c>
      <c r="D78" s="24">
        <v>1265</v>
      </c>
      <c r="E78" s="24">
        <v>2520</v>
      </c>
      <c r="F78" s="30" t="s">
        <v>1252</v>
      </c>
      <c r="G78" s="24" t="s">
        <v>1296</v>
      </c>
      <c r="H78" s="24" t="s">
        <v>1137</v>
      </c>
      <c r="I78" s="24" t="s">
        <v>1297</v>
      </c>
      <c r="K78" s="24" t="s">
        <v>1224</v>
      </c>
      <c r="L78" s="24" t="s">
        <v>1225</v>
      </c>
      <c r="M78" s="24" t="str">
        <f t="shared" si="1"/>
        <v>XBERWB03</v>
      </c>
    </row>
    <row r="79" spans="1:13" ht="13.2">
      <c r="A79" s="24" t="s">
        <v>1311</v>
      </c>
      <c r="B79" s="24" t="s">
        <v>1308</v>
      </c>
      <c r="C79" s="24">
        <v>0.35</v>
      </c>
      <c r="D79" s="24">
        <v>1265</v>
      </c>
      <c r="E79" s="24">
        <v>2520</v>
      </c>
      <c r="F79" s="30" t="s">
        <v>1252</v>
      </c>
      <c r="G79" s="24" t="s">
        <v>1296</v>
      </c>
      <c r="H79" s="24" t="s">
        <v>1137</v>
      </c>
      <c r="I79" s="24" t="s">
        <v>1297</v>
      </c>
      <c r="K79" s="24" t="s">
        <v>1224</v>
      </c>
      <c r="L79" s="24" t="s">
        <v>1225</v>
      </c>
      <c r="M79" s="24" t="str">
        <f t="shared" si="1"/>
        <v>XBERWB03</v>
      </c>
    </row>
    <row r="80" spans="1:13" ht="13.2">
      <c r="A80" s="24" t="s">
        <v>1312</v>
      </c>
      <c r="B80" s="24" t="s">
        <v>1308</v>
      </c>
      <c r="C80" s="24">
        <v>0.35</v>
      </c>
      <c r="D80" s="24">
        <v>1265</v>
      </c>
      <c r="E80" s="24">
        <v>2520</v>
      </c>
      <c r="F80" s="30" t="s">
        <v>1221</v>
      </c>
      <c r="G80" s="24" t="s">
        <v>1296</v>
      </c>
      <c r="H80" s="24" t="s">
        <v>1278</v>
      </c>
      <c r="I80" s="24" t="s">
        <v>1297</v>
      </c>
      <c r="K80" s="24" t="s">
        <v>1224</v>
      </c>
      <c r="L80" s="24" t="s">
        <v>1225</v>
      </c>
      <c r="M80" s="24" t="str">
        <f t="shared" si="1"/>
        <v>XBERWC01</v>
      </c>
    </row>
    <row r="81" spans="1:13" ht="13.2">
      <c r="A81" s="24" t="s">
        <v>1313</v>
      </c>
      <c r="B81" s="24" t="s">
        <v>1308</v>
      </c>
      <c r="C81" s="24">
        <v>0.35</v>
      </c>
      <c r="D81" s="24">
        <v>1265</v>
      </c>
      <c r="E81" s="24">
        <v>2520</v>
      </c>
      <c r="F81" s="30" t="s">
        <v>1221</v>
      </c>
      <c r="G81" s="24" t="s">
        <v>1296</v>
      </c>
      <c r="H81" s="24" t="s">
        <v>1278</v>
      </c>
      <c r="I81" s="24" t="s">
        <v>1297</v>
      </c>
      <c r="K81" s="24" t="s">
        <v>1224</v>
      </c>
      <c r="L81" s="24" t="s">
        <v>1225</v>
      </c>
      <c r="M81" s="24" t="str">
        <f t="shared" si="1"/>
        <v>XBERWC01</v>
      </c>
    </row>
    <row r="82" spans="1:13" ht="13.2">
      <c r="A82" s="24" t="s">
        <v>1314</v>
      </c>
      <c r="B82" s="24" t="s">
        <v>1308</v>
      </c>
      <c r="C82" s="24">
        <v>0.5</v>
      </c>
      <c r="D82" s="24">
        <v>1265</v>
      </c>
      <c r="E82" s="24">
        <v>2520</v>
      </c>
      <c r="F82" s="30" t="s">
        <v>1221</v>
      </c>
      <c r="G82" s="24" t="s">
        <v>1222</v>
      </c>
      <c r="H82" s="24" t="s">
        <v>1109</v>
      </c>
      <c r="I82" s="24" t="s">
        <v>1223</v>
      </c>
      <c r="K82" s="24" t="s">
        <v>1224</v>
      </c>
      <c r="L82" s="24" t="s">
        <v>1225</v>
      </c>
      <c r="M82" s="24" t="str">
        <f t="shared" si="1"/>
        <v>XBEPB101</v>
      </c>
    </row>
    <row r="83" spans="1:13" ht="13.2">
      <c r="A83" s="24" t="s">
        <v>1315</v>
      </c>
      <c r="B83" s="24" t="s">
        <v>1308</v>
      </c>
      <c r="C83" s="24">
        <v>0.5</v>
      </c>
      <c r="D83" s="24">
        <v>1265</v>
      </c>
      <c r="E83" s="24">
        <v>2520</v>
      </c>
      <c r="F83" s="30" t="s">
        <v>1221</v>
      </c>
      <c r="G83" s="24" t="s">
        <v>1222</v>
      </c>
      <c r="H83" s="24" t="s">
        <v>1109</v>
      </c>
      <c r="I83" s="24" t="s">
        <v>1223</v>
      </c>
      <c r="K83" s="24" t="s">
        <v>1224</v>
      </c>
      <c r="L83" s="24" t="s">
        <v>1225</v>
      </c>
      <c r="M83" s="24" t="str">
        <f t="shared" si="1"/>
        <v>XBEPB101</v>
      </c>
    </row>
    <row r="84" spans="1:13" ht="13.2">
      <c r="A84" s="24" t="s">
        <v>1316</v>
      </c>
      <c r="B84" s="24" t="s">
        <v>1308</v>
      </c>
      <c r="C84" s="24">
        <v>0.5</v>
      </c>
      <c r="D84" s="24">
        <v>1265</v>
      </c>
      <c r="E84" s="24">
        <v>2520</v>
      </c>
      <c r="F84" s="30" t="s">
        <v>1221</v>
      </c>
      <c r="G84" s="24" t="s">
        <v>1222</v>
      </c>
      <c r="H84" s="24" t="s">
        <v>1109</v>
      </c>
      <c r="I84" s="24" t="s">
        <v>1230</v>
      </c>
      <c r="K84" s="24" t="s">
        <v>1224</v>
      </c>
      <c r="L84" s="24" t="s">
        <v>1225</v>
      </c>
      <c r="M84" s="24" t="str">
        <f t="shared" si="1"/>
        <v>XBEPM101</v>
      </c>
    </row>
    <row r="85" spans="1:13" ht="13.2">
      <c r="A85" s="24" t="s">
        <v>172</v>
      </c>
      <c r="B85" s="24" t="s">
        <v>1308</v>
      </c>
      <c r="C85" s="24">
        <v>0.5</v>
      </c>
      <c r="D85" s="24">
        <v>1265</v>
      </c>
      <c r="E85" s="24">
        <v>2520</v>
      </c>
      <c r="F85" s="30" t="s">
        <v>1221</v>
      </c>
      <c r="G85" s="24" t="s">
        <v>1222</v>
      </c>
      <c r="H85" s="24" t="s">
        <v>1109</v>
      </c>
      <c r="I85" s="24" t="s">
        <v>1230</v>
      </c>
      <c r="K85" s="24" t="s">
        <v>1224</v>
      </c>
      <c r="L85" s="24" t="s">
        <v>1225</v>
      </c>
      <c r="M85" s="24" t="str">
        <f t="shared" si="1"/>
        <v>XBEPM101</v>
      </c>
    </row>
    <row r="86" spans="1:13" ht="13.2">
      <c r="A86" s="24" t="s">
        <v>1317</v>
      </c>
      <c r="B86" s="24" t="s">
        <v>1308</v>
      </c>
      <c r="C86" s="24">
        <v>0.5</v>
      </c>
      <c r="D86" s="24">
        <v>1240</v>
      </c>
      <c r="E86" s="24">
        <v>3070</v>
      </c>
      <c r="F86" s="30" t="s">
        <v>1221</v>
      </c>
      <c r="G86" s="24" t="s">
        <v>1222</v>
      </c>
      <c r="H86" s="24" t="s">
        <v>1109</v>
      </c>
      <c r="I86" s="24" t="s">
        <v>1230</v>
      </c>
      <c r="K86" s="24" t="s">
        <v>1224</v>
      </c>
      <c r="L86" s="24" t="s">
        <v>1225</v>
      </c>
      <c r="M86" s="24" t="str">
        <f t="shared" si="1"/>
        <v>XBEPM102</v>
      </c>
    </row>
    <row r="87" spans="1:13" ht="13.2">
      <c r="A87" s="24" t="s">
        <v>1318</v>
      </c>
      <c r="B87" s="24" t="s">
        <v>1308</v>
      </c>
      <c r="C87" s="24">
        <v>0.5</v>
      </c>
      <c r="D87" s="24">
        <v>1240</v>
      </c>
      <c r="E87" s="24">
        <v>3070</v>
      </c>
      <c r="F87" s="30" t="s">
        <v>1221</v>
      </c>
      <c r="G87" s="24" t="s">
        <v>1222</v>
      </c>
      <c r="H87" s="24" t="s">
        <v>1109</v>
      </c>
      <c r="I87" s="24" t="s">
        <v>1230</v>
      </c>
      <c r="K87" s="24" t="s">
        <v>1224</v>
      </c>
      <c r="L87" s="24" t="s">
        <v>1225</v>
      </c>
      <c r="M87" s="24" t="str">
        <f t="shared" si="1"/>
        <v>XBEPM102</v>
      </c>
    </row>
    <row r="88" spans="1:13" ht="13.2">
      <c r="A88" s="24" t="s">
        <v>1319</v>
      </c>
      <c r="B88" s="24" t="s">
        <v>1308</v>
      </c>
      <c r="C88" s="24">
        <v>0.5</v>
      </c>
      <c r="D88" s="24">
        <v>1265</v>
      </c>
      <c r="E88" s="24">
        <v>3300</v>
      </c>
      <c r="F88" s="30" t="s">
        <v>1221</v>
      </c>
      <c r="G88" s="24" t="s">
        <v>1222</v>
      </c>
      <c r="H88" s="24" t="s">
        <v>1109</v>
      </c>
      <c r="I88" s="24" t="s">
        <v>1230</v>
      </c>
      <c r="K88" s="24" t="s">
        <v>1224</v>
      </c>
      <c r="L88" s="24" t="s">
        <v>1225</v>
      </c>
      <c r="M88" s="24" t="str">
        <f t="shared" si="1"/>
        <v>XBEPM103</v>
      </c>
    </row>
    <row r="89" spans="1:13" ht="13.2">
      <c r="A89" s="24" t="s">
        <v>199</v>
      </c>
      <c r="B89" s="24" t="s">
        <v>1308</v>
      </c>
      <c r="C89" s="24">
        <v>0.5</v>
      </c>
      <c r="D89" s="24">
        <v>1265</v>
      </c>
      <c r="E89" s="24">
        <v>3300</v>
      </c>
      <c r="F89" s="30" t="s">
        <v>1221</v>
      </c>
      <c r="G89" s="24" t="s">
        <v>1222</v>
      </c>
      <c r="H89" s="24" t="s">
        <v>1109</v>
      </c>
      <c r="I89" s="24" t="s">
        <v>1230</v>
      </c>
      <c r="K89" s="24" t="s">
        <v>1224</v>
      </c>
      <c r="L89" s="24" t="s">
        <v>1225</v>
      </c>
      <c r="M89" s="24" t="str">
        <f t="shared" si="1"/>
        <v>XBEPM103</v>
      </c>
    </row>
    <row r="90" spans="1:13" ht="13.2">
      <c r="A90" s="24" t="s">
        <v>1320</v>
      </c>
      <c r="B90" s="24" t="s">
        <v>1308</v>
      </c>
      <c r="C90" s="24">
        <v>0.5</v>
      </c>
      <c r="D90" s="24">
        <v>1265</v>
      </c>
      <c r="E90" s="24">
        <v>2520</v>
      </c>
      <c r="F90" s="30" t="s">
        <v>1221</v>
      </c>
      <c r="G90" s="24" t="s">
        <v>1222</v>
      </c>
      <c r="H90" s="24" t="s">
        <v>1109</v>
      </c>
      <c r="I90" s="24" t="s">
        <v>1237</v>
      </c>
      <c r="K90" s="24" t="s">
        <v>1224</v>
      </c>
      <c r="L90" s="24" t="s">
        <v>1225</v>
      </c>
      <c r="M90" s="24" t="str">
        <f t="shared" si="1"/>
        <v>XBEPP101</v>
      </c>
    </row>
    <row r="91" spans="1:13" ht="13.2">
      <c r="A91" s="24" t="s">
        <v>1321</v>
      </c>
      <c r="B91" s="24" t="s">
        <v>1308</v>
      </c>
      <c r="C91" s="24">
        <v>0.5</v>
      </c>
      <c r="D91" s="24">
        <v>1265</v>
      </c>
      <c r="E91" s="24">
        <v>2520</v>
      </c>
      <c r="F91" s="30" t="s">
        <v>1221</v>
      </c>
      <c r="G91" s="24" t="s">
        <v>1222</v>
      </c>
      <c r="H91" s="24" t="s">
        <v>1109</v>
      </c>
      <c r="I91" s="24" t="s">
        <v>1237</v>
      </c>
      <c r="K91" s="24" t="s">
        <v>1224</v>
      </c>
      <c r="L91" s="24" t="s">
        <v>1225</v>
      </c>
      <c r="M91" s="24" t="str">
        <f t="shared" si="1"/>
        <v>XBEPP101</v>
      </c>
    </row>
    <row r="92" spans="1:13" ht="13.2">
      <c r="A92" s="24" t="s">
        <v>1322</v>
      </c>
      <c r="B92" s="24" t="s">
        <v>1308</v>
      </c>
      <c r="C92" s="24">
        <v>0.5</v>
      </c>
      <c r="D92" s="24">
        <v>1265</v>
      </c>
      <c r="E92" s="24">
        <v>3100</v>
      </c>
      <c r="F92" s="30" t="s">
        <v>1221</v>
      </c>
      <c r="G92" s="24" t="s">
        <v>1222</v>
      </c>
      <c r="H92" s="24" t="s">
        <v>1109</v>
      </c>
      <c r="I92" s="24" t="s">
        <v>1232</v>
      </c>
      <c r="K92" s="24" t="s">
        <v>1224</v>
      </c>
      <c r="L92" s="24" t="s">
        <v>1225</v>
      </c>
      <c r="M92" s="24" t="str">
        <f t="shared" si="1"/>
        <v>XBEPS104</v>
      </c>
    </row>
    <row r="93" spans="1:13" ht="13.2">
      <c r="A93" s="24" t="s">
        <v>1323</v>
      </c>
      <c r="B93" s="24" t="s">
        <v>1308</v>
      </c>
      <c r="C93" s="24">
        <v>0.5</v>
      </c>
      <c r="D93" s="24">
        <v>1265</v>
      </c>
      <c r="E93" s="24">
        <v>3100</v>
      </c>
      <c r="F93" s="30" t="s">
        <v>1221</v>
      </c>
      <c r="G93" s="24" t="s">
        <v>1222</v>
      </c>
      <c r="H93" s="24" t="s">
        <v>1109</v>
      </c>
      <c r="I93" s="24" t="s">
        <v>1232</v>
      </c>
      <c r="K93" s="24" t="s">
        <v>1224</v>
      </c>
      <c r="L93" s="24" t="s">
        <v>1225</v>
      </c>
      <c r="M93" s="24" t="str">
        <f t="shared" si="1"/>
        <v>XBEPS104</v>
      </c>
    </row>
    <row r="94" spans="1:13" ht="13.2">
      <c r="A94" s="24" t="s">
        <v>1324</v>
      </c>
      <c r="B94" s="24" t="s">
        <v>1308</v>
      </c>
      <c r="C94" s="24">
        <v>0.5</v>
      </c>
      <c r="D94" s="24">
        <v>1265</v>
      </c>
      <c r="E94" s="24">
        <v>2520</v>
      </c>
      <c r="F94" s="30" t="s">
        <v>1221</v>
      </c>
      <c r="G94" s="24" t="s">
        <v>1222</v>
      </c>
      <c r="H94" s="24" t="s">
        <v>1244</v>
      </c>
      <c r="I94" s="24" t="s">
        <v>1230</v>
      </c>
      <c r="K94" s="24" t="s">
        <v>1224</v>
      </c>
      <c r="L94" s="24" t="s">
        <v>1225</v>
      </c>
      <c r="M94" s="24" t="str">
        <f t="shared" si="1"/>
        <v>XBEPM201</v>
      </c>
    </row>
    <row r="95" spans="1:13" ht="13.2">
      <c r="A95" s="24" t="s">
        <v>181</v>
      </c>
      <c r="B95" s="24" t="s">
        <v>1308</v>
      </c>
      <c r="C95" s="24">
        <v>0.5</v>
      </c>
      <c r="D95" s="24">
        <v>1265</v>
      </c>
      <c r="E95" s="24">
        <v>2520</v>
      </c>
      <c r="F95" s="30" t="s">
        <v>1221</v>
      </c>
      <c r="G95" s="24" t="s">
        <v>1222</v>
      </c>
      <c r="H95" s="24" t="s">
        <v>1244</v>
      </c>
      <c r="I95" s="24" t="s">
        <v>1230</v>
      </c>
      <c r="K95" s="24" t="s">
        <v>1224</v>
      </c>
      <c r="L95" s="24" t="s">
        <v>1225</v>
      </c>
      <c r="M95" s="24" t="str">
        <f t="shared" si="1"/>
        <v>XBEPM201</v>
      </c>
    </row>
    <row r="96" spans="1:13" ht="13.2">
      <c r="A96" s="24" t="s">
        <v>1325</v>
      </c>
      <c r="B96" s="24" t="s">
        <v>1308</v>
      </c>
      <c r="C96" s="24">
        <v>0.5</v>
      </c>
      <c r="D96" s="24">
        <v>1265</v>
      </c>
      <c r="E96" s="24">
        <v>2520</v>
      </c>
      <c r="F96" s="30" t="s">
        <v>1252</v>
      </c>
      <c r="G96" s="24" t="s">
        <v>1222</v>
      </c>
      <c r="H96" s="24" t="s">
        <v>49</v>
      </c>
      <c r="I96" s="24" t="s">
        <v>1223</v>
      </c>
      <c r="K96" s="24" t="s">
        <v>1224</v>
      </c>
      <c r="L96" s="24" t="s">
        <v>1225</v>
      </c>
      <c r="M96" s="24" t="str">
        <f t="shared" si="1"/>
        <v>XBEPBA01</v>
      </c>
    </row>
    <row r="97" spans="1:13" ht="13.2">
      <c r="A97" s="24" t="s">
        <v>1326</v>
      </c>
      <c r="B97" s="24" t="s">
        <v>1308</v>
      </c>
      <c r="C97" s="24">
        <v>0.5</v>
      </c>
      <c r="D97" s="24">
        <v>1265</v>
      </c>
      <c r="E97" s="24">
        <v>2520</v>
      </c>
      <c r="F97" s="30" t="s">
        <v>1252</v>
      </c>
      <c r="G97" s="24" t="s">
        <v>1222</v>
      </c>
      <c r="H97" s="24" t="s">
        <v>49</v>
      </c>
      <c r="I97" s="24" t="s">
        <v>1223</v>
      </c>
      <c r="K97" s="24" t="s">
        <v>1224</v>
      </c>
      <c r="L97" s="24" t="s">
        <v>1225</v>
      </c>
      <c r="M97" s="24" t="str">
        <f t="shared" si="1"/>
        <v>XBEPBA01</v>
      </c>
    </row>
    <row r="98" spans="1:13" ht="13.2">
      <c r="A98" s="24" t="s">
        <v>1327</v>
      </c>
      <c r="B98" s="24" t="s">
        <v>1308</v>
      </c>
      <c r="C98" s="24">
        <v>0.5</v>
      </c>
      <c r="D98" s="24">
        <v>1240</v>
      </c>
      <c r="E98" s="24">
        <v>3070</v>
      </c>
      <c r="F98" s="30" t="s">
        <v>1252</v>
      </c>
      <c r="G98" s="24" t="s">
        <v>1222</v>
      </c>
      <c r="H98" s="24" t="s">
        <v>49</v>
      </c>
      <c r="I98" s="24" t="s">
        <v>1232</v>
      </c>
      <c r="K98" s="24" t="s">
        <v>1224</v>
      </c>
      <c r="L98" s="24" t="s">
        <v>1225</v>
      </c>
      <c r="M98" s="24" t="str">
        <f t="shared" si="1"/>
        <v>XBEPSA01</v>
      </c>
    </row>
    <row r="99" spans="1:13" ht="13.2">
      <c r="A99" s="24" t="s">
        <v>1328</v>
      </c>
      <c r="B99" s="24" t="s">
        <v>1308</v>
      </c>
      <c r="C99" s="24">
        <v>0.5</v>
      </c>
      <c r="D99" s="24">
        <v>1240</v>
      </c>
      <c r="E99" s="24">
        <v>3070</v>
      </c>
      <c r="F99" s="30" t="s">
        <v>1252</v>
      </c>
      <c r="G99" s="24" t="s">
        <v>1222</v>
      </c>
      <c r="H99" s="24" t="s">
        <v>49</v>
      </c>
      <c r="I99" s="24" t="s">
        <v>1232</v>
      </c>
      <c r="K99" s="24" t="s">
        <v>1224</v>
      </c>
      <c r="L99" s="24" t="s">
        <v>1225</v>
      </c>
      <c r="M99" s="24" t="str">
        <f t="shared" si="1"/>
        <v>XBEPSA01</v>
      </c>
    </row>
    <row r="100" spans="1:13" ht="13.2">
      <c r="A100" s="24" t="s">
        <v>1329</v>
      </c>
      <c r="B100" s="24" t="s">
        <v>1308</v>
      </c>
      <c r="C100" s="24">
        <v>0.5</v>
      </c>
      <c r="D100" s="24">
        <v>1265</v>
      </c>
      <c r="E100" s="24">
        <v>3300</v>
      </c>
      <c r="F100" s="30" t="s">
        <v>1252</v>
      </c>
      <c r="G100" s="24" t="s">
        <v>1222</v>
      </c>
      <c r="H100" s="24" t="s">
        <v>49</v>
      </c>
      <c r="I100" s="24" t="s">
        <v>1232</v>
      </c>
      <c r="K100" s="24" t="s">
        <v>1224</v>
      </c>
      <c r="L100" s="24" t="s">
        <v>1225</v>
      </c>
      <c r="M100" s="24" t="str">
        <f t="shared" si="1"/>
        <v>XBEPSA02</v>
      </c>
    </row>
    <row r="101" spans="1:13" ht="13.2">
      <c r="A101" s="24" t="s">
        <v>198</v>
      </c>
      <c r="B101" s="24" t="s">
        <v>1308</v>
      </c>
      <c r="C101" s="24">
        <v>0.5</v>
      </c>
      <c r="D101" s="24">
        <v>1265</v>
      </c>
      <c r="E101" s="24">
        <v>3300</v>
      </c>
      <c r="F101" s="30" t="s">
        <v>1252</v>
      </c>
      <c r="G101" s="24" t="s">
        <v>1222</v>
      </c>
      <c r="H101" s="24" t="s">
        <v>49</v>
      </c>
      <c r="I101" s="24" t="s">
        <v>1232</v>
      </c>
      <c r="K101" s="24" t="s">
        <v>1224</v>
      </c>
      <c r="L101" s="24" t="s">
        <v>1225</v>
      </c>
      <c r="M101" s="24" t="str">
        <f t="shared" si="1"/>
        <v>XBEPSA02</v>
      </c>
    </row>
    <row r="102" spans="1:13" ht="13.2">
      <c r="A102" s="24" t="s">
        <v>1330</v>
      </c>
      <c r="B102" s="24" t="s">
        <v>1308</v>
      </c>
      <c r="C102" s="24">
        <v>0.5</v>
      </c>
      <c r="D102" s="24">
        <v>1265</v>
      </c>
      <c r="E102" s="24">
        <v>2520</v>
      </c>
      <c r="F102" s="30" t="s">
        <v>1252</v>
      </c>
      <c r="G102" s="24" t="s">
        <v>1222</v>
      </c>
      <c r="H102" s="24" t="s">
        <v>1137</v>
      </c>
      <c r="I102" s="24" t="s">
        <v>1223</v>
      </c>
      <c r="K102" s="24" t="s">
        <v>1224</v>
      </c>
      <c r="L102" s="24" t="s">
        <v>1225</v>
      </c>
      <c r="M102" s="24" t="str">
        <f t="shared" si="1"/>
        <v>XBEPBB02</v>
      </c>
    </row>
    <row r="103" spans="1:13" ht="13.2">
      <c r="A103" s="24" t="s">
        <v>171</v>
      </c>
      <c r="B103" s="24" t="s">
        <v>1308</v>
      </c>
      <c r="C103" s="24">
        <v>0.5</v>
      </c>
      <c r="D103" s="24">
        <v>1265</v>
      </c>
      <c r="E103" s="24">
        <v>2520</v>
      </c>
      <c r="F103" s="30" t="s">
        <v>1252</v>
      </c>
      <c r="G103" s="24" t="s">
        <v>1222</v>
      </c>
      <c r="H103" s="24" t="s">
        <v>1137</v>
      </c>
      <c r="I103" s="24" t="s">
        <v>1223</v>
      </c>
      <c r="K103" s="24" t="s">
        <v>1224</v>
      </c>
      <c r="L103" s="24" t="s">
        <v>1225</v>
      </c>
      <c r="M103" s="24" t="str">
        <f t="shared" si="1"/>
        <v>XBEPBB02</v>
      </c>
    </row>
    <row r="104" spans="1:13" ht="13.2">
      <c r="A104" s="24" t="s">
        <v>1331</v>
      </c>
      <c r="B104" s="24" t="s">
        <v>1308</v>
      </c>
      <c r="C104" s="24">
        <v>0.5</v>
      </c>
      <c r="D104" s="24">
        <v>1265</v>
      </c>
      <c r="E104" s="24">
        <v>2520</v>
      </c>
      <c r="F104" s="30" t="s">
        <v>1252</v>
      </c>
      <c r="G104" s="24" t="s">
        <v>1222</v>
      </c>
      <c r="H104" s="24" t="s">
        <v>1137</v>
      </c>
      <c r="I104" s="24" t="s">
        <v>1237</v>
      </c>
      <c r="K104" s="24" t="s">
        <v>1224</v>
      </c>
      <c r="L104" s="24" t="s">
        <v>1225</v>
      </c>
      <c r="M104" s="24" t="str">
        <f t="shared" si="1"/>
        <v>XBEPPB01</v>
      </c>
    </row>
    <row r="105" spans="1:13" ht="13.2">
      <c r="A105" s="24" t="s">
        <v>1332</v>
      </c>
      <c r="B105" s="24" t="s">
        <v>1308</v>
      </c>
      <c r="C105" s="24">
        <v>0.5</v>
      </c>
      <c r="D105" s="24">
        <v>1265</v>
      </c>
      <c r="E105" s="24">
        <v>2520</v>
      </c>
      <c r="F105" s="30" t="s">
        <v>1252</v>
      </c>
      <c r="G105" s="24" t="s">
        <v>1222</v>
      </c>
      <c r="H105" s="24" t="s">
        <v>1137</v>
      </c>
      <c r="I105" s="24" t="s">
        <v>1237</v>
      </c>
      <c r="K105" s="24" t="s">
        <v>1224</v>
      </c>
      <c r="L105" s="24" t="s">
        <v>1225</v>
      </c>
      <c r="M105" s="24" t="str">
        <f t="shared" si="1"/>
        <v>XBEPPB01</v>
      </c>
    </row>
    <row r="106" spans="1:13" ht="13.2">
      <c r="A106" s="24" t="s">
        <v>1333</v>
      </c>
      <c r="B106" s="24" t="s">
        <v>1308</v>
      </c>
      <c r="C106" s="24">
        <v>0.5</v>
      </c>
      <c r="D106" s="24">
        <v>1265</v>
      </c>
      <c r="E106" s="24">
        <v>2520</v>
      </c>
      <c r="F106" s="30" t="s">
        <v>1252</v>
      </c>
      <c r="G106" s="24" t="s">
        <v>1222</v>
      </c>
      <c r="H106" s="24" t="s">
        <v>1334</v>
      </c>
      <c r="I106" s="24" t="s">
        <v>1223</v>
      </c>
      <c r="K106" s="24" t="s">
        <v>1224</v>
      </c>
      <c r="L106" s="24" t="s">
        <v>1225</v>
      </c>
      <c r="M106" s="24" t="str">
        <f t="shared" si="1"/>
        <v>XBEPBB01</v>
      </c>
    </row>
    <row r="107" spans="1:13" ht="13.2">
      <c r="A107" s="24" t="s">
        <v>1335</v>
      </c>
      <c r="B107" s="24" t="s">
        <v>1308</v>
      </c>
      <c r="C107" s="24">
        <v>0.5</v>
      </c>
      <c r="D107" s="24">
        <v>1265</v>
      </c>
      <c r="E107" s="24">
        <v>2520</v>
      </c>
      <c r="F107" s="30" t="s">
        <v>1252</v>
      </c>
      <c r="G107" s="24" t="s">
        <v>1222</v>
      </c>
      <c r="H107" s="24" t="s">
        <v>1334</v>
      </c>
      <c r="I107" s="24" t="s">
        <v>1223</v>
      </c>
      <c r="K107" s="24" t="s">
        <v>1224</v>
      </c>
      <c r="L107" s="24" t="s">
        <v>1225</v>
      </c>
      <c r="M107" s="24" t="str">
        <f t="shared" si="1"/>
        <v>XBEPBB01</v>
      </c>
    </row>
    <row r="108" spans="1:13" ht="13.2">
      <c r="A108" s="24" t="s">
        <v>1336</v>
      </c>
      <c r="B108" s="24" t="s">
        <v>1308</v>
      </c>
      <c r="C108" s="24">
        <v>0.5</v>
      </c>
      <c r="D108" s="24">
        <v>1265</v>
      </c>
      <c r="E108" s="24">
        <v>2520</v>
      </c>
      <c r="F108" s="30" t="s">
        <v>1252</v>
      </c>
      <c r="G108" s="24" t="s">
        <v>1222</v>
      </c>
      <c r="H108" s="24" t="s">
        <v>1334</v>
      </c>
      <c r="I108" s="24" t="s">
        <v>1232</v>
      </c>
      <c r="K108" s="24" t="s">
        <v>1224</v>
      </c>
      <c r="L108" s="24" t="s">
        <v>1225</v>
      </c>
      <c r="M108" s="24" t="str">
        <f t="shared" si="1"/>
        <v>XBEPSB01</v>
      </c>
    </row>
    <row r="109" spans="1:13" ht="13.2">
      <c r="A109" s="24" t="s">
        <v>1337</v>
      </c>
      <c r="B109" s="24" t="s">
        <v>1308</v>
      </c>
      <c r="C109" s="24">
        <v>0.5</v>
      </c>
      <c r="D109" s="24">
        <v>1265</v>
      </c>
      <c r="E109" s="24">
        <v>2520</v>
      </c>
      <c r="F109" s="30" t="s">
        <v>1252</v>
      </c>
      <c r="G109" s="24" t="s">
        <v>1222</v>
      </c>
      <c r="H109" s="24" t="s">
        <v>1334</v>
      </c>
      <c r="I109" s="24" t="s">
        <v>1232</v>
      </c>
      <c r="K109" s="24" t="s">
        <v>1224</v>
      </c>
      <c r="L109" s="24" t="s">
        <v>1225</v>
      </c>
      <c r="M109" s="24" t="str">
        <f t="shared" si="1"/>
        <v>XBEPSB01</v>
      </c>
    </row>
    <row r="110" spans="1:13" ht="13.2">
      <c r="A110" s="24" t="s">
        <v>1338</v>
      </c>
      <c r="B110" s="24" t="s">
        <v>1308</v>
      </c>
      <c r="C110" s="24">
        <v>0.5</v>
      </c>
      <c r="D110" s="24">
        <v>965</v>
      </c>
      <c r="E110" s="24">
        <v>2250</v>
      </c>
      <c r="F110" s="30" t="s">
        <v>1252</v>
      </c>
      <c r="G110" s="24" t="s">
        <v>1222</v>
      </c>
      <c r="H110" s="24" t="s">
        <v>1115</v>
      </c>
      <c r="I110" s="24" t="s">
        <v>1223</v>
      </c>
      <c r="K110" s="24" t="s">
        <v>1224</v>
      </c>
      <c r="L110" s="24" t="s">
        <v>1339</v>
      </c>
      <c r="M110" s="24" t="str">
        <f t="shared" si="1"/>
        <v>XBEPBF01</v>
      </c>
    </row>
    <row r="111" spans="1:13" ht="13.2">
      <c r="A111" s="24" t="s">
        <v>1340</v>
      </c>
      <c r="B111" s="24" t="s">
        <v>1308</v>
      </c>
      <c r="C111" s="24">
        <v>0.5</v>
      </c>
      <c r="D111" s="24">
        <v>965</v>
      </c>
      <c r="E111" s="24">
        <v>2250</v>
      </c>
      <c r="F111" s="30" t="s">
        <v>1252</v>
      </c>
      <c r="G111" s="24" t="s">
        <v>1222</v>
      </c>
      <c r="H111" s="24" t="s">
        <v>1115</v>
      </c>
      <c r="I111" s="24" t="s">
        <v>1223</v>
      </c>
      <c r="K111" s="24" t="s">
        <v>1224</v>
      </c>
      <c r="L111" s="24" t="s">
        <v>1339</v>
      </c>
      <c r="M111" s="24" t="str">
        <f t="shared" si="1"/>
        <v>XBEPBF01</v>
      </c>
    </row>
    <row r="112" spans="1:13" ht="13.2">
      <c r="A112" s="24" t="s">
        <v>1341</v>
      </c>
      <c r="B112" s="24" t="s">
        <v>1308</v>
      </c>
      <c r="C112" s="24">
        <v>0.5</v>
      </c>
      <c r="D112" s="24">
        <v>965</v>
      </c>
      <c r="E112" s="24">
        <v>2250</v>
      </c>
      <c r="F112" s="30" t="s">
        <v>1252</v>
      </c>
      <c r="G112" s="24" t="s">
        <v>1342</v>
      </c>
      <c r="H112" s="24" t="s">
        <v>1115</v>
      </c>
      <c r="I112" s="24" t="s">
        <v>1223</v>
      </c>
      <c r="K112" s="24" t="s">
        <v>1224</v>
      </c>
      <c r="L112" s="24" t="s">
        <v>1339</v>
      </c>
      <c r="M112" s="24" t="str">
        <f t="shared" si="1"/>
        <v>XBEQBF01</v>
      </c>
    </row>
    <row r="113" spans="1:13" ht="13.2">
      <c r="A113" s="24" t="s">
        <v>1343</v>
      </c>
      <c r="B113" s="24" t="s">
        <v>1308</v>
      </c>
      <c r="C113" s="24">
        <v>0.5</v>
      </c>
      <c r="D113" s="24">
        <v>965</v>
      </c>
      <c r="E113" s="24">
        <v>2250</v>
      </c>
      <c r="F113" s="30" t="s">
        <v>1252</v>
      </c>
      <c r="G113" s="24" t="s">
        <v>1342</v>
      </c>
      <c r="H113" s="24" t="s">
        <v>1115</v>
      </c>
      <c r="I113" s="24" t="s">
        <v>1223</v>
      </c>
      <c r="K113" s="24" t="s">
        <v>1224</v>
      </c>
      <c r="L113" s="24" t="s">
        <v>1339</v>
      </c>
      <c r="M113" s="24" t="str">
        <f t="shared" si="1"/>
        <v>XBEQBF01</v>
      </c>
    </row>
    <row r="114" spans="1:13" ht="13.2">
      <c r="A114" s="24" t="s">
        <v>1344</v>
      </c>
      <c r="B114" s="24" t="s">
        <v>1308</v>
      </c>
      <c r="C114" s="24">
        <v>0.5</v>
      </c>
      <c r="D114" s="24">
        <v>1265</v>
      </c>
      <c r="E114" s="24">
        <v>2520</v>
      </c>
      <c r="F114" s="30" t="s">
        <v>1221</v>
      </c>
      <c r="G114" s="24" t="s">
        <v>1296</v>
      </c>
      <c r="H114" s="24" t="s">
        <v>1109</v>
      </c>
      <c r="I114" s="24" t="s">
        <v>1230</v>
      </c>
      <c r="K114" s="24" t="s">
        <v>1224</v>
      </c>
      <c r="L114" s="24" t="s">
        <v>1225</v>
      </c>
      <c r="M114" s="24" t="str">
        <f t="shared" si="1"/>
        <v>XBERM101</v>
      </c>
    </row>
    <row r="115" spans="1:13" ht="13.2">
      <c r="A115" s="24" t="s">
        <v>159</v>
      </c>
      <c r="B115" s="24" t="s">
        <v>1308</v>
      </c>
      <c r="C115" s="24">
        <v>0.5</v>
      </c>
      <c r="D115" s="24">
        <v>1265</v>
      </c>
      <c r="E115" s="24">
        <v>2520</v>
      </c>
      <c r="F115" s="30" t="s">
        <v>1221</v>
      </c>
      <c r="G115" s="24" t="s">
        <v>1296</v>
      </c>
      <c r="H115" s="24" t="s">
        <v>1109</v>
      </c>
      <c r="I115" s="24" t="s">
        <v>1230</v>
      </c>
      <c r="K115" s="24" t="s">
        <v>1224</v>
      </c>
      <c r="L115" s="24" t="s">
        <v>1225</v>
      </c>
      <c r="M115" s="24" t="str">
        <f t="shared" si="1"/>
        <v>XBERM101</v>
      </c>
    </row>
    <row r="116" spans="1:13" ht="13.2">
      <c r="A116" s="24" t="s">
        <v>1345</v>
      </c>
      <c r="B116" s="24" t="s">
        <v>1308</v>
      </c>
      <c r="C116" s="24">
        <v>0.5</v>
      </c>
      <c r="D116" s="24">
        <v>1265</v>
      </c>
      <c r="E116" s="24">
        <v>2520</v>
      </c>
      <c r="F116" s="30" t="s">
        <v>1221</v>
      </c>
      <c r="G116" s="24" t="s">
        <v>1296</v>
      </c>
      <c r="H116" s="24" t="s">
        <v>1109</v>
      </c>
      <c r="I116" s="24" t="s">
        <v>1232</v>
      </c>
      <c r="K116" s="24" t="s">
        <v>1224</v>
      </c>
      <c r="L116" s="24" t="s">
        <v>1225</v>
      </c>
      <c r="M116" s="24" t="str">
        <f t="shared" si="1"/>
        <v>XBERS101</v>
      </c>
    </row>
    <row r="117" spans="1:13" ht="13.2">
      <c r="A117" s="24" t="s">
        <v>1346</v>
      </c>
      <c r="B117" s="24" t="s">
        <v>1308</v>
      </c>
      <c r="C117" s="24">
        <v>0.5</v>
      </c>
      <c r="D117" s="24">
        <v>1265</v>
      </c>
      <c r="E117" s="24">
        <v>2520</v>
      </c>
      <c r="F117" s="30" t="s">
        <v>1221</v>
      </c>
      <c r="G117" s="24" t="s">
        <v>1296</v>
      </c>
      <c r="H117" s="24" t="s">
        <v>1109</v>
      </c>
      <c r="I117" s="24" t="s">
        <v>1232</v>
      </c>
      <c r="K117" s="24" t="s">
        <v>1224</v>
      </c>
      <c r="L117" s="24" t="s">
        <v>1225</v>
      </c>
      <c r="M117" s="24" t="str">
        <f t="shared" si="1"/>
        <v>XBERS101</v>
      </c>
    </row>
    <row r="118" spans="1:13" ht="13.2">
      <c r="A118" s="24" t="s">
        <v>1347</v>
      </c>
      <c r="B118" s="24" t="s">
        <v>1308</v>
      </c>
      <c r="C118" s="24">
        <v>0.5</v>
      </c>
      <c r="D118" s="24">
        <v>1265</v>
      </c>
      <c r="E118" s="24">
        <v>2520</v>
      </c>
      <c r="F118" s="30" t="s">
        <v>1221</v>
      </c>
      <c r="G118" s="24" t="s">
        <v>1296</v>
      </c>
      <c r="H118" s="24" t="s">
        <v>1244</v>
      </c>
      <c r="I118" s="24" t="s">
        <v>1230</v>
      </c>
      <c r="K118" s="24" t="s">
        <v>1224</v>
      </c>
      <c r="L118" s="24" t="s">
        <v>1225</v>
      </c>
      <c r="M118" s="24" t="str">
        <f t="shared" si="1"/>
        <v>XBERM201</v>
      </c>
    </row>
    <row r="119" spans="1:13" ht="13.2">
      <c r="A119" s="24" t="s">
        <v>194</v>
      </c>
      <c r="B119" s="24" t="s">
        <v>1308</v>
      </c>
      <c r="C119" s="24">
        <v>0.5</v>
      </c>
      <c r="D119" s="24">
        <v>1265</v>
      </c>
      <c r="E119" s="24">
        <v>2520</v>
      </c>
      <c r="F119" s="30" t="s">
        <v>1221</v>
      </c>
      <c r="G119" s="24" t="s">
        <v>1296</v>
      </c>
      <c r="H119" s="24" t="s">
        <v>1244</v>
      </c>
      <c r="I119" s="24" t="s">
        <v>1230</v>
      </c>
      <c r="K119" s="24" t="s">
        <v>1224</v>
      </c>
      <c r="L119" s="24" t="s">
        <v>1225</v>
      </c>
      <c r="M119" s="24" t="str">
        <f t="shared" si="1"/>
        <v>XBERM201</v>
      </c>
    </row>
    <row r="120" spans="1:13" ht="13.2">
      <c r="A120" s="24" t="s">
        <v>1348</v>
      </c>
      <c r="B120" s="24" t="s">
        <v>1308</v>
      </c>
      <c r="C120" s="24">
        <v>0.5</v>
      </c>
      <c r="D120" s="24">
        <v>1265</v>
      </c>
      <c r="E120" s="24">
        <v>2520</v>
      </c>
      <c r="F120" s="30" t="s">
        <v>1252</v>
      </c>
      <c r="G120" s="24" t="s">
        <v>1296</v>
      </c>
      <c r="H120" s="24" t="s">
        <v>1137</v>
      </c>
      <c r="I120" s="24" t="s">
        <v>1232</v>
      </c>
      <c r="K120" s="24" t="s">
        <v>1224</v>
      </c>
      <c r="L120" s="24" t="s">
        <v>1225</v>
      </c>
      <c r="M120" s="24" t="str">
        <f t="shared" si="1"/>
        <v>XBERSB01</v>
      </c>
    </row>
    <row r="121" spans="1:13" ht="13.2">
      <c r="A121" s="24" t="s">
        <v>1349</v>
      </c>
      <c r="B121" s="24" t="s">
        <v>1308</v>
      </c>
      <c r="C121" s="24">
        <v>0.5</v>
      </c>
      <c r="D121" s="24">
        <v>1265</v>
      </c>
      <c r="E121" s="24">
        <v>2520</v>
      </c>
      <c r="F121" s="30" t="s">
        <v>1252</v>
      </c>
      <c r="G121" s="24" t="s">
        <v>1296</v>
      </c>
      <c r="H121" s="24" t="s">
        <v>1137</v>
      </c>
      <c r="I121" s="24" t="s">
        <v>1232</v>
      </c>
      <c r="K121" s="24" t="s">
        <v>1224</v>
      </c>
      <c r="L121" s="24" t="s">
        <v>1225</v>
      </c>
      <c r="M121" s="24" t="str">
        <f t="shared" si="1"/>
        <v>XBERSB01</v>
      </c>
    </row>
    <row r="122" spans="1:13" ht="13.2">
      <c r="A122" s="24" t="s">
        <v>1350</v>
      </c>
      <c r="B122" s="24" t="s">
        <v>1308</v>
      </c>
      <c r="C122" s="24">
        <v>0.5</v>
      </c>
      <c r="D122" s="24">
        <v>1265</v>
      </c>
      <c r="E122" s="24">
        <v>2520</v>
      </c>
      <c r="F122" s="30" t="s">
        <v>1252</v>
      </c>
      <c r="G122" s="24" t="s">
        <v>1296</v>
      </c>
      <c r="H122" s="24" t="s">
        <v>1334</v>
      </c>
      <c r="I122" s="24" t="s">
        <v>1232</v>
      </c>
      <c r="K122" s="24" t="s">
        <v>1224</v>
      </c>
      <c r="L122" s="24" t="s">
        <v>1225</v>
      </c>
      <c r="M122" s="24" t="str">
        <f t="shared" si="1"/>
        <v>XBERSB02</v>
      </c>
    </row>
    <row r="123" spans="1:13" ht="13.2">
      <c r="A123" s="24" t="s">
        <v>175</v>
      </c>
      <c r="B123" s="24" t="s">
        <v>1308</v>
      </c>
      <c r="C123" s="24">
        <v>0.5</v>
      </c>
      <c r="D123" s="24">
        <v>1265</v>
      </c>
      <c r="E123" s="24">
        <v>2520</v>
      </c>
      <c r="F123" s="30" t="s">
        <v>1252</v>
      </c>
      <c r="G123" s="24" t="s">
        <v>1296</v>
      </c>
      <c r="H123" s="24" t="s">
        <v>1334</v>
      </c>
      <c r="I123" s="24" t="s">
        <v>1232</v>
      </c>
      <c r="K123" s="24" t="s">
        <v>1224</v>
      </c>
      <c r="L123" s="24" t="s">
        <v>1225</v>
      </c>
      <c r="M123" s="24" t="str">
        <f t="shared" si="1"/>
        <v>XBERSB02</v>
      </c>
    </row>
    <row r="124" spans="1:13" ht="13.2">
      <c r="A124" s="24" t="s">
        <v>1351</v>
      </c>
      <c r="B124" s="24" t="s">
        <v>1352</v>
      </c>
      <c r="C124" s="24">
        <v>0.5</v>
      </c>
      <c r="D124" s="24" t="s">
        <v>1353</v>
      </c>
      <c r="E124" s="24">
        <v>2500</v>
      </c>
      <c r="F124" s="30" t="s">
        <v>1240</v>
      </c>
      <c r="G124" s="24" t="s">
        <v>1222</v>
      </c>
      <c r="H124" s="24" t="s">
        <v>49</v>
      </c>
      <c r="I124" s="24" t="s">
        <v>1240</v>
      </c>
      <c r="K124" s="24" t="s">
        <v>1354</v>
      </c>
      <c r="L124" s="24" t="s">
        <v>51</v>
      </c>
      <c r="M124" s="24" t="str">
        <f t="shared" si="1"/>
        <v>XCEPZA01</v>
      </c>
    </row>
    <row r="125" spans="1:13" ht="13.2">
      <c r="A125" s="24" t="s">
        <v>1355</v>
      </c>
      <c r="B125" s="24" t="s">
        <v>1352</v>
      </c>
      <c r="C125" s="24">
        <v>0.5</v>
      </c>
      <c r="D125" s="24" t="s">
        <v>1353</v>
      </c>
      <c r="E125" s="24">
        <v>2500</v>
      </c>
      <c r="F125" s="30" t="s">
        <v>1240</v>
      </c>
      <c r="G125" s="24" t="s">
        <v>1222</v>
      </c>
      <c r="H125" s="24" t="s">
        <v>49</v>
      </c>
      <c r="I125" s="24" t="s">
        <v>1240</v>
      </c>
      <c r="K125" s="24" t="s">
        <v>1354</v>
      </c>
      <c r="L125" s="24" t="s">
        <v>51</v>
      </c>
      <c r="M125" s="24" t="str">
        <f t="shared" si="1"/>
        <v>XCEPZA01</v>
      </c>
    </row>
    <row r="126" spans="1:13" ht="13.2">
      <c r="A126" s="24" t="s">
        <v>1356</v>
      </c>
      <c r="B126" s="24" t="s">
        <v>1352</v>
      </c>
      <c r="C126" s="24">
        <v>0.5</v>
      </c>
      <c r="D126" s="24">
        <v>1265</v>
      </c>
      <c r="E126" s="24">
        <v>2520</v>
      </c>
      <c r="F126" s="30" t="s">
        <v>1252</v>
      </c>
      <c r="G126" s="24" t="s">
        <v>1222</v>
      </c>
      <c r="H126" s="24" t="s">
        <v>49</v>
      </c>
      <c r="I126" s="24" t="s">
        <v>1237</v>
      </c>
      <c r="K126" s="24" t="s">
        <v>1224</v>
      </c>
      <c r="L126" s="24" t="s">
        <v>1225</v>
      </c>
      <c r="M126" s="24" t="str">
        <f t="shared" si="1"/>
        <v>XCEPPA01</v>
      </c>
    </row>
    <row r="127" spans="1:13" ht="13.2">
      <c r="A127" s="24" t="s">
        <v>1357</v>
      </c>
      <c r="B127" s="24" t="s">
        <v>1352</v>
      </c>
      <c r="C127" s="24">
        <v>0.5</v>
      </c>
      <c r="D127" s="24">
        <v>1265</v>
      </c>
      <c r="E127" s="24">
        <v>2520</v>
      </c>
      <c r="F127" s="30" t="s">
        <v>1252</v>
      </c>
      <c r="G127" s="24" t="s">
        <v>1222</v>
      </c>
      <c r="H127" s="24" t="s">
        <v>49</v>
      </c>
      <c r="I127" s="24" t="s">
        <v>1237</v>
      </c>
      <c r="K127" s="24" t="s">
        <v>1224</v>
      </c>
      <c r="L127" s="24" t="s">
        <v>1225</v>
      </c>
      <c r="M127" s="24" t="str">
        <f t="shared" si="1"/>
        <v>XCEPPA01</v>
      </c>
    </row>
    <row r="128" spans="1:13" ht="13.2">
      <c r="A128" s="24" t="s">
        <v>1358</v>
      </c>
      <c r="B128" s="24" t="s">
        <v>1359</v>
      </c>
      <c r="C128" s="24">
        <v>0.5</v>
      </c>
      <c r="D128" s="24">
        <v>1265</v>
      </c>
      <c r="E128" s="24">
        <v>2520</v>
      </c>
      <c r="F128" s="30" t="s">
        <v>1221</v>
      </c>
      <c r="G128" s="24" t="s">
        <v>1222</v>
      </c>
      <c r="H128" s="24" t="s">
        <v>1109</v>
      </c>
      <c r="I128" s="24" t="s">
        <v>1223</v>
      </c>
      <c r="K128" s="24" t="s">
        <v>1224</v>
      </c>
      <c r="L128" s="24" t="s">
        <v>1225</v>
      </c>
      <c r="M128" s="24" t="str">
        <f t="shared" si="1"/>
        <v>XCHPB101</v>
      </c>
    </row>
    <row r="129" spans="1:13" ht="13.2">
      <c r="A129" s="24" t="s">
        <v>1360</v>
      </c>
      <c r="B129" s="24" t="s">
        <v>1359</v>
      </c>
      <c r="C129" s="24">
        <v>0.5</v>
      </c>
      <c r="D129" s="24">
        <v>1265</v>
      </c>
      <c r="E129" s="24">
        <v>2520</v>
      </c>
      <c r="F129" s="30" t="s">
        <v>1221</v>
      </c>
      <c r="G129" s="24" t="s">
        <v>1222</v>
      </c>
      <c r="H129" s="24" t="s">
        <v>1109</v>
      </c>
      <c r="I129" s="24" t="s">
        <v>1223</v>
      </c>
      <c r="K129" s="24" t="s">
        <v>1224</v>
      </c>
      <c r="L129" s="24" t="s">
        <v>1225</v>
      </c>
      <c r="M129" s="24" t="str">
        <f t="shared" si="1"/>
        <v>XCHPB101</v>
      </c>
    </row>
    <row r="130" spans="1:13" ht="13.2">
      <c r="A130" s="24" t="s">
        <v>1361</v>
      </c>
      <c r="B130" s="24" t="s">
        <v>1359</v>
      </c>
      <c r="C130" s="24">
        <v>0.5</v>
      </c>
      <c r="D130" s="24">
        <v>1265</v>
      </c>
      <c r="E130" s="24">
        <v>2520</v>
      </c>
      <c r="F130" s="30" t="s">
        <v>1221</v>
      </c>
      <c r="G130" s="24" t="s">
        <v>1222</v>
      </c>
      <c r="H130" s="24" t="s">
        <v>1109</v>
      </c>
      <c r="I130" s="24" t="s">
        <v>1230</v>
      </c>
      <c r="K130" s="24" t="s">
        <v>1224</v>
      </c>
      <c r="L130" s="24" t="s">
        <v>1225</v>
      </c>
      <c r="M130" s="24" t="str">
        <f t="shared" ref="M130:M193" si="2">RIGHT(A130,8)</f>
        <v>XCHPM101</v>
      </c>
    </row>
    <row r="131" spans="1:13" ht="13.2">
      <c r="A131" s="24" t="s">
        <v>209</v>
      </c>
      <c r="B131" s="24" t="s">
        <v>1359</v>
      </c>
      <c r="C131" s="24">
        <v>0.5</v>
      </c>
      <c r="D131" s="24">
        <v>1265</v>
      </c>
      <c r="E131" s="24">
        <v>2520</v>
      </c>
      <c r="F131" s="30" t="s">
        <v>1221</v>
      </c>
      <c r="G131" s="24" t="s">
        <v>1222</v>
      </c>
      <c r="H131" s="24" t="s">
        <v>1109</v>
      </c>
      <c r="I131" s="24" t="s">
        <v>1230</v>
      </c>
      <c r="K131" s="24" t="s">
        <v>1224</v>
      </c>
      <c r="L131" s="24" t="s">
        <v>1225</v>
      </c>
      <c r="M131" s="24" t="str">
        <f t="shared" si="2"/>
        <v>XCHPM101</v>
      </c>
    </row>
    <row r="132" spans="1:13" ht="13.2">
      <c r="A132" s="24" t="s">
        <v>1362</v>
      </c>
      <c r="B132" s="24" t="s">
        <v>1359</v>
      </c>
      <c r="C132" s="24">
        <v>0.5</v>
      </c>
      <c r="D132" s="24">
        <v>1265</v>
      </c>
      <c r="E132" s="24">
        <v>2520</v>
      </c>
      <c r="F132" s="30" t="s">
        <v>1221</v>
      </c>
      <c r="G132" s="24" t="s">
        <v>1222</v>
      </c>
      <c r="H132" s="24" t="s">
        <v>1244</v>
      </c>
      <c r="I132" s="24" t="s">
        <v>1230</v>
      </c>
      <c r="K132" s="24" t="s">
        <v>1224</v>
      </c>
      <c r="L132" s="24" t="s">
        <v>1225</v>
      </c>
      <c r="M132" s="24" t="str">
        <f t="shared" si="2"/>
        <v>XCHPM201</v>
      </c>
    </row>
    <row r="133" spans="1:13" ht="13.2">
      <c r="A133" s="24" t="s">
        <v>1363</v>
      </c>
      <c r="B133" s="24" t="s">
        <v>1359</v>
      </c>
      <c r="C133" s="24">
        <v>0.5</v>
      </c>
      <c r="D133" s="24">
        <v>1265</v>
      </c>
      <c r="E133" s="24">
        <v>2520</v>
      </c>
      <c r="F133" s="30" t="s">
        <v>1221</v>
      </c>
      <c r="G133" s="24" t="s">
        <v>1222</v>
      </c>
      <c r="H133" s="24" t="s">
        <v>1244</v>
      </c>
      <c r="I133" s="24" t="s">
        <v>1230</v>
      </c>
      <c r="K133" s="24" t="s">
        <v>1224</v>
      </c>
      <c r="L133" s="24" t="s">
        <v>1225</v>
      </c>
      <c r="M133" s="24" t="str">
        <f t="shared" si="2"/>
        <v>XCHPM201</v>
      </c>
    </row>
    <row r="134" spans="1:13" ht="13.2">
      <c r="A134" s="24" t="s">
        <v>1364</v>
      </c>
      <c r="B134" s="24" t="s">
        <v>1359</v>
      </c>
      <c r="C134" s="24">
        <v>0.5</v>
      </c>
      <c r="D134" s="24">
        <v>1265</v>
      </c>
      <c r="E134" s="24">
        <v>2520</v>
      </c>
      <c r="F134" s="30" t="s">
        <v>1252</v>
      </c>
      <c r="G134" s="24" t="s">
        <v>1222</v>
      </c>
      <c r="H134" s="24" t="s">
        <v>49</v>
      </c>
      <c r="I134" s="24" t="s">
        <v>1223</v>
      </c>
      <c r="K134" s="24" t="s">
        <v>1224</v>
      </c>
      <c r="L134" s="24" t="s">
        <v>1225</v>
      </c>
      <c r="M134" s="24" t="str">
        <f t="shared" si="2"/>
        <v>XCHPBA01</v>
      </c>
    </row>
    <row r="135" spans="1:13" ht="13.2">
      <c r="A135" s="24" t="s">
        <v>208</v>
      </c>
      <c r="B135" s="24" t="s">
        <v>1359</v>
      </c>
      <c r="C135" s="24">
        <v>0.5</v>
      </c>
      <c r="D135" s="24">
        <v>1265</v>
      </c>
      <c r="E135" s="24">
        <v>2520</v>
      </c>
      <c r="F135" s="30" t="s">
        <v>1252</v>
      </c>
      <c r="G135" s="24" t="s">
        <v>1222</v>
      </c>
      <c r="H135" s="24" t="s">
        <v>49</v>
      </c>
      <c r="I135" s="24" t="s">
        <v>1223</v>
      </c>
      <c r="K135" s="24" t="s">
        <v>1224</v>
      </c>
      <c r="L135" s="24" t="s">
        <v>1225</v>
      </c>
      <c r="M135" s="24" t="str">
        <f t="shared" si="2"/>
        <v>XCHPBA01</v>
      </c>
    </row>
    <row r="136" spans="1:13" ht="13.2">
      <c r="A136" s="24" t="s">
        <v>1365</v>
      </c>
      <c r="B136" s="24" t="s">
        <v>1359</v>
      </c>
      <c r="C136" s="24">
        <v>0.5</v>
      </c>
      <c r="D136" s="24">
        <v>1265</v>
      </c>
      <c r="E136" s="24">
        <v>2520</v>
      </c>
      <c r="F136" s="30" t="s">
        <v>1252</v>
      </c>
      <c r="G136" s="24" t="s">
        <v>1222</v>
      </c>
      <c r="H136" s="24" t="s">
        <v>1366</v>
      </c>
      <c r="I136" s="24" t="s">
        <v>1223</v>
      </c>
      <c r="K136" s="24" t="s">
        <v>1224</v>
      </c>
      <c r="L136" s="24" t="s">
        <v>1225</v>
      </c>
      <c r="M136" s="24" t="str">
        <f t="shared" si="2"/>
        <v>XCHPBA02</v>
      </c>
    </row>
    <row r="137" spans="1:13" ht="13.2">
      <c r="A137" s="24" t="s">
        <v>1367</v>
      </c>
      <c r="B137" s="24" t="s">
        <v>1359</v>
      </c>
      <c r="C137" s="24">
        <v>0.5</v>
      </c>
      <c r="D137" s="24">
        <v>1265</v>
      </c>
      <c r="E137" s="24">
        <v>2520</v>
      </c>
      <c r="F137" s="30" t="s">
        <v>1252</v>
      </c>
      <c r="G137" s="24" t="s">
        <v>1222</v>
      </c>
      <c r="H137" s="24" t="s">
        <v>1366</v>
      </c>
      <c r="I137" s="24" t="s">
        <v>1223</v>
      </c>
      <c r="K137" s="24" t="s">
        <v>1224</v>
      </c>
      <c r="L137" s="24" t="s">
        <v>1225</v>
      </c>
      <c r="M137" s="24" t="str">
        <f t="shared" si="2"/>
        <v>XCHPBA02</v>
      </c>
    </row>
    <row r="138" spans="1:13" ht="13.2">
      <c r="A138" s="24" t="s">
        <v>1368</v>
      </c>
      <c r="B138" s="24" t="s">
        <v>1359</v>
      </c>
      <c r="C138" s="24">
        <v>0.5</v>
      </c>
      <c r="D138" s="24">
        <v>1265</v>
      </c>
      <c r="E138" s="24">
        <v>2520</v>
      </c>
      <c r="F138" s="30" t="s">
        <v>1252</v>
      </c>
      <c r="G138" s="24" t="s">
        <v>1222</v>
      </c>
      <c r="H138" s="24" t="s">
        <v>1137</v>
      </c>
      <c r="I138" s="24" t="s">
        <v>1223</v>
      </c>
      <c r="K138" s="24" t="s">
        <v>1224</v>
      </c>
      <c r="L138" s="24" t="s">
        <v>1225</v>
      </c>
      <c r="M138" s="24" t="str">
        <f t="shared" si="2"/>
        <v>XCHPBB01</v>
      </c>
    </row>
    <row r="139" spans="1:13" ht="13.2">
      <c r="A139" s="24" t="s">
        <v>1369</v>
      </c>
      <c r="B139" s="24" t="s">
        <v>1359</v>
      </c>
      <c r="C139" s="24">
        <v>0.5</v>
      </c>
      <c r="D139" s="24">
        <v>1265</v>
      </c>
      <c r="E139" s="24">
        <v>2520</v>
      </c>
      <c r="F139" s="30" t="s">
        <v>1252</v>
      </c>
      <c r="G139" s="24" t="s">
        <v>1222</v>
      </c>
      <c r="H139" s="24" t="s">
        <v>1137</v>
      </c>
      <c r="I139" s="24" t="s">
        <v>1223</v>
      </c>
      <c r="K139" s="24" t="s">
        <v>1224</v>
      </c>
      <c r="L139" s="24" t="s">
        <v>1225</v>
      </c>
      <c r="M139" s="24" t="str">
        <f t="shared" si="2"/>
        <v>XCHPBB01</v>
      </c>
    </row>
    <row r="140" spans="1:13" ht="13.2">
      <c r="A140" s="24" t="s">
        <v>1370</v>
      </c>
      <c r="B140" s="24" t="s">
        <v>1359</v>
      </c>
      <c r="C140" s="24">
        <v>0.5</v>
      </c>
      <c r="D140" s="24">
        <v>1265</v>
      </c>
      <c r="E140" s="24">
        <v>2520</v>
      </c>
      <c r="F140" s="30" t="s">
        <v>1252</v>
      </c>
      <c r="G140" s="24" t="s">
        <v>1222</v>
      </c>
      <c r="H140" s="24" t="s">
        <v>1137</v>
      </c>
      <c r="I140" s="24" t="s">
        <v>1232</v>
      </c>
      <c r="K140" s="24" t="s">
        <v>1224</v>
      </c>
      <c r="L140" s="24" t="s">
        <v>1225</v>
      </c>
      <c r="M140" s="24" t="str">
        <f t="shared" si="2"/>
        <v>XCHPSB01</v>
      </c>
    </row>
    <row r="141" spans="1:13" ht="13.2">
      <c r="A141" s="24" t="s">
        <v>218</v>
      </c>
      <c r="B141" s="24" t="s">
        <v>1359</v>
      </c>
      <c r="C141" s="24">
        <v>0.5</v>
      </c>
      <c r="D141" s="24">
        <v>1265</v>
      </c>
      <c r="E141" s="24">
        <v>2520</v>
      </c>
      <c r="F141" s="30" t="s">
        <v>1252</v>
      </c>
      <c r="G141" s="24" t="s">
        <v>1222</v>
      </c>
      <c r="H141" s="24" t="s">
        <v>1137</v>
      </c>
      <c r="I141" s="24" t="s">
        <v>1232</v>
      </c>
      <c r="K141" s="24" t="s">
        <v>1224</v>
      </c>
      <c r="L141" s="24" t="s">
        <v>1225</v>
      </c>
      <c r="M141" s="24" t="str">
        <f t="shared" si="2"/>
        <v>XCHPSB01</v>
      </c>
    </row>
    <row r="142" spans="1:13" ht="13.2">
      <c r="A142" s="24" t="s">
        <v>1371</v>
      </c>
      <c r="B142" s="24" t="s">
        <v>1359</v>
      </c>
      <c r="C142" s="24">
        <v>0.5</v>
      </c>
      <c r="D142" s="24">
        <v>1265</v>
      </c>
      <c r="E142" s="24">
        <v>2520</v>
      </c>
      <c r="F142" s="30" t="s">
        <v>1252</v>
      </c>
      <c r="G142" s="24" t="s">
        <v>1222</v>
      </c>
      <c r="H142" s="24" t="s">
        <v>1278</v>
      </c>
      <c r="I142" s="24" t="s">
        <v>1223</v>
      </c>
      <c r="K142" s="24" t="s">
        <v>1224</v>
      </c>
      <c r="L142" s="24" t="s">
        <v>1225</v>
      </c>
      <c r="M142" s="24" t="str">
        <f t="shared" si="2"/>
        <v>XCHPBC01</v>
      </c>
    </row>
    <row r="143" spans="1:13" ht="13.2">
      <c r="A143" s="24" t="s">
        <v>1372</v>
      </c>
      <c r="B143" s="24" t="s">
        <v>1359</v>
      </c>
      <c r="C143" s="24">
        <v>0.5</v>
      </c>
      <c r="D143" s="24">
        <v>1265</v>
      </c>
      <c r="E143" s="24">
        <v>2520</v>
      </c>
      <c r="F143" s="30" t="s">
        <v>1252</v>
      </c>
      <c r="G143" s="24" t="s">
        <v>1222</v>
      </c>
      <c r="H143" s="24" t="s">
        <v>1278</v>
      </c>
      <c r="I143" s="24" t="s">
        <v>1223</v>
      </c>
      <c r="K143" s="24" t="s">
        <v>1224</v>
      </c>
      <c r="L143" s="24" t="s">
        <v>1225</v>
      </c>
      <c r="M143" s="24" t="str">
        <f t="shared" si="2"/>
        <v>XCHPBC01</v>
      </c>
    </row>
    <row r="144" spans="1:13" ht="13.2">
      <c r="A144" s="24" t="s">
        <v>1373</v>
      </c>
      <c r="B144" s="24" t="s">
        <v>1359</v>
      </c>
      <c r="C144" s="24">
        <v>0.5</v>
      </c>
      <c r="D144" s="24">
        <v>1265</v>
      </c>
      <c r="E144" s="24">
        <v>2520</v>
      </c>
      <c r="F144" s="30" t="s">
        <v>1252</v>
      </c>
      <c r="G144" s="24" t="s">
        <v>1222</v>
      </c>
      <c r="H144" s="24" t="s">
        <v>1278</v>
      </c>
      <c r="I144" s="24" t="s">
        <v>1232</v>
      </c>
      <c r="K144" s="24" t="s">
        <v>1224</v>
      </c>
      <c r="L144" s="24" t="s">
        <v>1225</v>
      </c>
      <c r="M144" s="24" t="str">
        <f t="shared" si="2"/>
        <v>XCHPSC01</v>
      </c>
    </row>
    <row r="145" spans="1:13" ht="13.2">
      <c r="A145" s="24" t="s">
        <v>228</v>
      </c>
      <c r="B145" s="24" t="s">
        <v>1359</v>
      </c>
      <c r="C145" s="24">
        <v>0.5</v>
      </c>
      <c r="D145" s="24">
        <v>1265</v>
      </c>
      <c r="E145" s="24">
        <v>2520</v>
      </c>
      <c r="F145" s="30" t="s">
        <v>1252</v>
      </c>
      <c r="G145" s="24" t="s">
        <v>1222</v>
      </c>
      <c r="H145" s="24" t="s">
        <v>1278</v>
      </c>
      <c r="I145" s="24" t="s">
        <v>1232</v>
      </c>
      <c r="K145" s="24" t="s">
        <v>1224</v>
      </c>
      <c r="L145" s="24" t="s">
        <v>1225</v>
      </c>
      <c r="M145" s="24" t="str">
        <f t="shared" si="2"/>
        <v>XCHPSC01</v>
      </c>
    </row>
    <row r="146" spans="1:13" ht="13.2">
      <c r="A146" s="24" t="s">
        <v>1374</v>
      </c>
      <c r="B146" s="24" t="s">
        <v>1359</v>
      </c>
      <c r="C146" s="24">
        <v>0.5</v>
      </c>
      <c r="D146" s="24">
        <v>1265</v>
      </c>
      <c r="E146" s="24">
        <v>2520</v>
      </c>
      <c r="F146" s="30" t="s">
        <v>1252</v>
      </c>
      <c r="G146" s="24" t="s">
        <v>1222</v>
      </c>
      <c r="H146" s="24" t="s">
        <v>1375</v>
      </c>
      <c r="I146" s="24" t="s">
        <v>1223</v>
      </c>
      <c r="K146" s="24" t="s">
        <v>1224</v>
      </c>
      <c r="L146" s="24" t="s">
        <v>1225</v>
      </c>
      <c r="M146" s="24" t="str">
        <f t="shared" si="2"/>
        <v>XCHPBC02</v>
      </c>
    </row>
    <row r="147" spans="1:13" ht="13.2">
      <c r="A147" s="24" t="s">
        <v>1376</v>
      </c>
      <c r="B147" s="24" t="s">
        <v>1359</v>
      </c>
      <c r="C147" s="24">
        <v>0.5</v>
      </c>
      <c r="D147" s="24">
        <v>1265</v>
      </c>
      <c r="E147" s="24">
        <v>2520</v>
      </c>
      <c r="F147" s="30" t="s">
        <v>1252</v>
      </c>
      <c r="G147" s="24" t="s">
        <v>1222</v>
      </c>
      <c r="H147" s="24" t="s">
        <v>1375</v>
      </c>
      <c r="I147" s="24" t="s">
        <v>1223</v>
      </c>
      <c r="K147" s="24" t="s">
        <v>1224</v>
      </c>
      <c r="L147" s="24" t="s">
        <v>1225</v>
      </c>
      <c r="M147" s="24" t="str">
        <f t="shared" si="2"/>
        <v>XCHPBC02</v>
      </c>
    </row>
    <row r="148" spans="1:13" ht="13.2">
      <c r="A148" s="24" t="s">
        <v>1377</v>
      </c>
      <c r="B148" s="24" t="s">
        <v>1359</v>
      </c>
      <c r="C148" s="24">
        <v>0.5</v>
      </c>
      <c r="D148" s="24">
        <v>1265</v>
      </c>
      <c r="E148" s="24">
        <v>2520</v>
      </c>
      <c r="F148" s="30" t="s">
        <v>1252</v>
      </c>
      <c r="G148" s="24" t="s">
        <v>1222</v>
      </c>
      <c r="H148" s="24" t="s">
        <v>1375</v>
      </c>
      <c r="I148" s="24" t="s">
        <v>1232</v>
      </c>
      <c r="K148" s="24" t="s">
        <v>1224</v>
      </c>
      <c r="L148" s="24" t="s">
        <v>1225</v>
      </c>
      <c r="M148" s="24" t="str">
        <f t="shared" si="2"/>
        <v>XCHPSC02</v>
      </c>
    </row>
    <row r="149" spans="1:13" ht="13.2">
      <c r="A149" s="24" t="s">
        <v>1378</v>
      </c>
      <c r="B149" s="24" t="s">
        <v>1359</v>
      </c>
      <c r="C149" s="24">
        <v>0.5</v>
      </c>
      <c r="D149" s="24">
        <v>1265</v>
      </c>
      <c r="E149" s="24">
        <v>2520</v>
      </c>
      <c r="F149" s="30" t="s">
        <v>1252</v>
      </c>
      <c r="G149" s="24" t="s">
        <v>1222</v>
      </c>
      <c r="H149" s="24" t="s">
        <v>1375</v>
      </c>
      <c r="I149" s="24" t="s">
        <v>1232</v>
      </c>
      <c r="K149" s="24" t="s">
        <v>1224</v>
      </c>
      <c r="L149" s="24" t="s">
        <v>1225</v>
      </c>
      <c r="M149" s="24" t="str">
        <f t="shared" si="2"/>
        <v>XCHPSC02</v>
      </c>
    </row>
    <row r="150" spans="1:13" ht="13.2">
      <c r="A150" s="24" t="s">
        <v>1379</v>
      </c>
      <c r="B150" s="24" t="s">
        <v>1359</v>
      </c>
      <c r="C150" s="24">
        <v>0.5</v>
      </c>
      <c r="D150" s="24">
        <v>965</v>
      </c>
      <c r="E150" s="24">
        <v>2250</v>
      </c>
      <c r="F150" s="30" t="s">
        <v>1252</v>
      </c>
      <c r="G150" s="24" t="s">
        <v>1222</v>
      </c>
      <c r="H150" s="24" t="s">
        <v>1380</v>
      </c>
      <c r="I150" s="24" t="s">
        <v>1223</v>
      </c>
      <c r="K150" s="24" t="s">
        <v>1224</v>
      </c>
      <c r="L150" s="24" t="s">
        <v>1339</v>
      </c>
      <c r="M150" s="24" t="str">
        <f t="shared" si="2"/>
        <v>XCHPBA04</v>
      </c>
    </row>
    <row r="151" spans="1:13" ht="13.2">
      <c r="A151" s="24" t="s">
        <v>726</v>
      </c>
      <c r="B151" s="24" t="s">
        <v>1359</v>
      </c>
      <c r="C151" s="24">
        <v>0.5</v>
      </c>
      <c r="D151" s="24">
        <v>965</v>
      </c>
      <c r="E151" s="24">
        <v>2250</v>
      </c>
      <c r="F151" s="30" t="s">
        <v>1252</v>
      </c>
      <c r="G151" s="24" t="s">
        <v>1222</v>
      </c>
      <c r="H151" s="24" t="s">
        <v>1380</v>
      </c>
      <c r="I151" s="24" t="s">
        <v>1223</v>
      </c>
      <c r="K151" s="24" t="s">
        <v>1224</v>
      </c>
      <c r="L151" s="24" t="s">
        <v>1339</v>
      </c>
      <c r="M151" s="24" t="str">
        <f t="shared" si="2"/>
        <v>XCHPBA04</v>
      </c>
    </row>
    <row r="152" spans="1:13" ht="13.2">
      <c r="A152" s="24" t="s">
        <v>1381</v>
      </c>
      <c r="B152" s="24" t="s">
        <v>1359</v>
      </c>
      <c r="C152" s="24">
        <v>0.5</v>
      </c>
      <c r="D152" s="24">
        <v>1265</v>
      </c>
      <c r="E152" s="24">
        <v>2520</v>
      </c>
      <c r="F152" s="24" t="s">
        <v>1252</v>
      </c>
      <c r="G152" s="24" t="s">
        <v>1222</v>
      </c>
      <c r="H152" s="24" t="s">
        <v>1380</v>
      </c>
      <c r="I152" s="24" t="s">
        <v>1223</v>
      </c>
      <c r="K152" s="24" t="s">
        <v>1224</v>
      </c>
      <c r="L152" s="24" t="s">
        <v>1339</v>
      </c>
      <c r="M152" s="24" t="str">
        <f t="shared" si="2"/>
        <v>XCHPBA03</v>
      </c>
    </row>
    <row r="153" spans="1:13" ht="13.2">
      <c r="A153" s="24" t="s">
        <v>1382</v>
      </c>
      <c r="B153" s="24" t="s">
        <v>1359</v>
      </c>
      <c r="C153" s="24">
        <v>0.5</v>
      </c>
      <c r="D153" s="24">
        <v>965</v>
      </c>
      <c r="E153" s="24">
        <v>2520</v>
      </c>
      <c r="F153" s="30" t="s">
        <v>1252</v>
      </c>
      <c r="G153" s="24" t="s">
        <v>1222</v>
      </c>
      <c r="H153" s="24" t="s">
        <v>1380</v>
      </c>
      <c r="I153" s="24" t="s">
        <v>1223</v>
      </c>
      <c r="K153" s="24" t="s">
        <v>1224</v>
      </c>
      <c r="L153" s="24" t="s">
        <v>1339</v>
      </c>
      <c r="M153" s="24" t="str">
        <f t="shared" si="2"/>
        <v>XCHPBA05</v>
      </c>
    </row>
    <row r="154" spans="1:13" ht="13.2">
      <c r="A154" s="24" t="s">
        <v>741</v>
      </c>
      <c r="B154" s="24" t="s">
        <v>1359</v>
      </c>
      <c r="C154" s="24">
        <v>0.5</v>
      </c>
      <c r="D154" s="24">
        <v>1265</v>
      </c>
      <c r="E154" s="24">
        <v>2520</v>
      </c>
      <c r="F154" s="30" t="s">
        <v>1252</v>
      </c>
      <c r="G154" s="24" t="s">
        <v>1222</v>
      </c>
      <c r="H154" s="24" t="s">
        <v>1380</v>
      </c>
      <c r="I154" s="24" t="s">
        <v>1223</v>
      </c>
      <c r="K154" s="24" t="s">
        <v>1224</v>
      </c>
      <c r="L154" s="24" t="s">
        <v>1339</v>
      </c>
      <c r="M154" s="24" t="str">
        <f t="shared" si="2"/>
        <v>XCHPBA03</v>
      </c>
    </row>
    <row r="155" spans="1:13" ht="13.2">
      <c r="A155" s="24" t="s">
        <v>730</v>
      </c>
      <c r="B155" s="24" t="s">
        <v>1359</v>
      </c>
      <c r="C155" s="24">
        <v>0.5</v>
      </c>
      <c r="D155" s="24">
        <v>965</v>
      </c>
      <c r="E155" s="24">
        <v>2520</v>
      </c>
      <c r="F155" s="30" t="s">
        <v>1252</v>
      </c>
      <c r="G155" s="24" t="s">
        <v>1222</v>
      </c>
      <c r="H155" s="24" t="s">
        <v>1380</v>
      </c>
      <c r="I155" s="24" t="s">
        <v>1223</v>
      </c>
      <c r="K155" s="24" t="s">
        <v>1224</v>
      </c>
      <c r="L155" s="24" t="s">
        <v>1339</v>
      </c>
      <c r="M155" s="24" t="str">
        <f t="shared" si="2"/>
        <v>XCHPBA05</v>
      </c>
    </row>
    <row r="156" spans="1:13" ht="13.2">
      <c r="A156" s="24" t="s">
        <v>1383</v>
      </c>
      <c r="B156" s="24" t="s">
        <v>1359</v>
      </c>
      <c r="C156" s="24">
        <v>0.5</v>
      </c>
      <c r="D156" s="24">
        <v>965</v>
      </c>
      <c r="E156" s="24">
        <v>2800</v>
      </c>
      <c r="F156" s="30" t="s">
        <v>1252</v>
      </c>
      <c r="G156" s="24" t="s">
        <v>1222</v>
      </c>
      <c r="H156" s="24" t="s">
        <v>1380</v>
      </c>
      <c r="I156" s="24" t="s">
        <v>1223</v>
      </c>
      <c r="K156" s="24" t="s">
        <v>1224</v>
      </c>
      <c r="L156" s="24" t="s">
        <v>1339</v>
      </c>
      <c r="M156" s="24" t="str">
        <f t="shared" si="2"/>
        <v>XCHPBA06</v>
      </c>
    </row>
    <row r="157" spans="1:13" ht="13.2">
      <c r="A157" s="24" t="s">
        <v>1384</v>
      </c>
      <c r="B157" s="24" t="s">
        <v>1359</v>
      </c>
      <c r="C157" s="24">
        <v>0.5</v>
      </c>
      <c r="D157" s="24">
        <v>930</v>
      </c>
      <c r="E157" s="24">
        <v>2800</v>
      </c>
      <c r="F157" s="30" t="s">
        <v>1252</v>
      </c>
      <c r="G157" s="24" t="s">
        <v>1222</v>
      </c>
      <c r="H157" s="24" t="s">
        <v>1385</v>
      </c>
      <c r="I157" s="24" t="s">
        <v>1223</v>
      </c>
      <c r="K157" s="24" t="s">
        <v>1224</v>
      </c>
      <c r="L157" s="24" t="s">
        <v>1339</v>
      </c>
      <c r="M157" s="24" t="str">
        <f t="shared" si="2"/>
        <v>XCHPBA51</v>
      </c>
    </row>
    <row r="158" spans="1:13" ht="13.2">
      <c r="A158" s="24" t="s">
        <v>1386</v>
      </c>
      <c r="B158" s="24" t="s">
        <v>1359</v>
      </c>
      <c r="C158" s="24">
        <v>0.5</v>
      </c>
      <c r="D158" s="24">
        <v>965</v>
      </c>
      <c r="E158" s="24">
        <v>2800</v>
      </c>
      <c r="F158" s="30" t="s">
        <v>1252</v>
      </c>
      <c r="G158" s="24" t="s">
        <v>1222</v>
      </c>
      <c r="H158" s="24" t="s">
        <v>1380</v>
      </c>
      <c r="I158" s="24" t="s">
        <v>1223</v>
      </c>
      <c r="K158" s="24" t="s">
        <v>1224</v>
      </c>
      <c r="L158" s="24" t="s">
        <v>1339</v>
      </c>
      <c r="M158" s="24" t="str">
        <f t="shared" si="2"/>
        <v>XCHPBA06</v>
      </c>
    </row>
    <row r="159" spans="1:13" ht="13.2">
      <c r="A159" s="24" t="s">
        <v>734</v>
      </c>
      <c r="B159" s="24" t="s">
        <v>1359</v>
      </c>
      <c r="C159" s="24">
        <v>0.5</v>
      </c>
      <c r="D159" s="24">
        <v>930</v>
      </c>
      <c r="E159" s="24">
        <v>2800</v>
      </c>
      <c r="F159" s="30" t="s">
        <v>1252</v>
      </c>
      <c r="G159" s="24" t="s">
        <v>1222</v>
      </c>
      <c r="H159" s="24" t="s">
        <v>1385</v>
      </c>
      <c r="I159" s="24" t="s">
        <v>1223</v>
      </c>
      <c r="K159" s="24" t="s">
        <v>1224</v>
      </c>
      <c r="L159" s="24" t="s">
        <v>1339</v>
      </c>
      <c r="M159" s="24" t="str">
        <f t="shared" si="2"/>
        <v>XCHPBA51</v>
      </c>
    </row>
    <row r="160" spans="1:13" ht="13.2">
      <c r="A160" s="24" t="s">
        <v>1387</v>
      </c>
      <c r="B160" s="24" t="s">
        <v>1359</v>
      </c>
      <c r="C160" s="24">
        <v>0.5</v>
      </c>
      <c r="D160" s="24">
        <v>1265</v>
      </c>
      <c r="E160" s="24">
        <v>2520</v>
      </c>
      <c r="F160" s="30" t="s">
        <v>1252</v>
      </c>
      <c r="G160" s="24" t="s">
        <v>1222</v>
      </c>
      <c r="H160" s="24" t="s">
        <v>1380</v>
      </c>
      <c r="I160" s="24" t="s">
        <v>1388</v>
      </c>
      <c r="K160" s="24" t="s">
        <v>1224</v>
      </c>
      <c r="L160" s="24" t="s">
        <v>1339</v>
      </c>
      <c r="M160" s="24" t="str">
        <f t="shared" si="2"/>
        <v>XCHPBA07</v>
      </c>
    </row>
    <row r="161" spans="1:13" ht="13.2">
      <c r="A161" s="24" t="s">
        <v>738</v>
      </c>
      <c r="B161" s="24" t="s">
        <v>1359</v>
      </c>
      <c r="C161" s="24">
        <v>0.5</v>
      </c>
      <c r="D161" s="24">
        <v>1265</v>
      </c>
      <c r="E161" s="24">
        <v>2520</v>
      </c>
      <c r="F161" s="30" t="s">
        <v>1252</v>
      </c>
      <c r="G161" s="24" t="s">
        <v>1222</v>
      </c>
      <c r="H161" s="24" t="s">
        <v>1380</v>
      </c>
      <c r="I161" s="24" t="s">
        <v>1388</v>
      </c>
      <c r="K161" s="24" t="s">
        <v>1224</v>
      </c>
      <c r="L161" s="24" t="s">
        <v>1339</v>
      </c>
      <c r="M161" s="24" t="str">
        <f t="shared" si="2"/>
        <v>XCHPBA07</v>
      </c>
    </row>
    <row r="162" spans="1:13" ht="13.2">
      <c r="A162" s="24" t="s">
        <v>1389</v>
      </c>
      <c r="B162" s="24" t="s">
        <v>1359</v>
      </c>
      <c r="C162" s="24">
        <v>0.5</v>
      </c>
      <c r="D162" s="24">
        <v>1265</v>
      </c>
      <c r="E162" s="24">
        <v>2520</v>
      </c>
      <c r="F162" s="30" t="s">
        <v>1240</v>
      </c>
      <c r="G162" s="24" t="s">
        <v>1222</v>
      </c>
      <c r="H162" s="24" t="s">
        <v>1163</v>
      </c>
      <c r="I162" s="24" t="s">
        <v>1240</v>
      </c>
      <c r="K162" s="24" t="s">
        <v>1224</v>
      </c>
      <c r="L162" s="24" t="s">
        <v>1225</v>
      </c>
      <c r="M162" s="24" t="str">
        <f t="shared" si="2"/>
        <v>XCHPZW01</v>
      </c>
    </row>
    <row r="163" spans="1:13" ht="13.2">
      <c r="A163" s="24" t="s">
        <v>1390</v>
      </c>
      <c r="B163" s="24" t="s">
        <v>1359</v>
      </c>
      <c r="C163" s="24">
        <v>0.5</v>
      </c>
      <c r="D163" s="24">
        <v>1265</v>
      </c>
      <c r="E163" s="24">
        <v>3100</v>
      </c>
      <c r="F163" s="30" t="s">
        <v>1240</v>
      </c>
      <c r="G163" s="24" t="s">
        <v>1222</v>
      </c>
      <c r="H163" s="24" t="s">
        <v>1163</v>
      </c>
      <c r="I163" s="24" t="s">
        <v>1240</v>
      </c>
      <c r="K163" s="24" t="s">
        <v>1224</v>
      </c>
      <c r="L163" s="24" t="s">
        <v>1225</v>
      </c>
      <c r="M163" s="24" t="str">
        <f t="shared" si="2"/>
        <v>XCHPZW02</v>
      </c>
    </row>
    <row r="164" spans="1:13" ht="13.2">
      <c r="A164" s="24" t="s">
        <v>1391</v>
      </c>
      <c r="B164" s="24" t="s">
        <v>1359</v>
      </c>
      <c r="C164" s="24">
        <v>0.5</v>
      </c>
      <c r="D164" s="24">
        <v>1265</v>
      </c>
      <c r="E164" s="24">
        <v>2520</v>
      </c>
      <c r="F164" s="30" t="s">
        <v>1240</v>
      </c>
      <c r="G164" s="24" t="s">
        <v>1222</v>
      </c>
      <c r="H164" s="24" t="s">
        <v>1163</v>
      </c>
      <c r="I164" s="24" t="s">
        <v>1240</v>
      </c>
      <c r="K164" s="24" t="s">
        <v>1224</v>
      </c>
      <c r="L164" s="24" t="s">
        <v>1225</v>
      </c>
      <c r="M164" s="24" t="str">
        <f t="shared" si="2"/>
        <v>XCHPZW01</v>
      </c>
    </row>
    <row r="165" spans="1:13" ht="13.2">
      <c r="A165" s="24" t="s">
        <v>1392</v>
      </c>
      <c r="B165" s="24" t="s">
        <v>1359</v>
      </c>
      <c r="C165" s="24">
        <v>0.5</v>
      </c>
      <c r="D165" s="24">
        <v>1265</v>
      </c>
      <c r="E165" s="24">
        <v>3100</v>
      </c>
      <c r="F165" s="30" t="s">
        <v>1240</v>
      </c>
      <c r="G165" s="24" t="s">
        <v>1222</v>
      </c>
      <c r="H165" s="24" t="s">
        <v>1163</v>
      </c>
      <c r="I165" s="24" t="s">
        <v>1240</v>
      </c>
      <c r="K165" s="24" t="s">
        <v>1224</v>
      </c>
      <c r="L165" s="24" t="s">
        <v>1225</v>
      </c>
      <c r="M165" s="24" t="str">
        <f t="shared" si="2"/>
        <v>XCHPZW02</v>
      </c>
    </row>
    <row r="166" spans="1:13" ht="13.2">
      <c r="A166" s="24" t="s">
        <v>1393</v>
      </c>
      <c r="B166" s="24" t="s">
        <v>1394</v>
      </c>
      <c r="C166" s="24">
        <v>0.5</v>
      </c>
      <c r="D166" s="24">
        <v>1265</v>
      </c>
      <c r="E166" s="24">
        <v>2520</v>
      </c>
      <c r="F166" s="30" t="s">
        <v>1221</v>
      </c>
      <c r="G166" s="24" t="s">
        <v>1222</v>
      </c>
      <c r="H166" s="24" t="s">
        <v>1244</v>
      </c>
      <c r="I166" s="24" t="s">
        <v>1230</v>
      </c>
      <c r="K166" s="24" t="s">
        <v>1224</v>
      </c>
      <c r="L166" s="24" t="s">
        <v>1225</v>
      </c>
      <c r="M166" s="24" t="str">
        <f t="shared" si="2"/>
        <v>XCYPM201</v>
      </c>
    </row>
    <row r="167" spans="1:13" ht="13.2">
      <c r="A167" s="24" t="s">
        <v>1395</v>
      </c>
      <c r="B167" s="24" t="s">
        <v>1394</v>
      </c>
      <c r="C167" s="24">
        <v>0.5</v>
      </c>
      <c r="D167" s="24">
        <v>1265</v>
      </c>
      <c r="E167" s="24">
        <v>2520</v>
      </c>
      <c r="F167" s="30" t="s">
        <v>1221</v>
      </c>
      <c r="G167" s="24" t="s">
        <v>1222</v>
      </c>
      <c r="H167" s="24" t="s">
        <v>1244</v>
      </c>
      <c r="I167" s="24" t="s">
        <v>1230</v>
      </c>
      <c r="K167" s="24" t="s">
        <v>1224</v>
      </c>
      <c r="L167" s="24" t="s">
        <v>1225</v>
      </c>
      <c r="M167" s="24" t="str">
        <f t="shared" si="2"/>
        <v>XCYPM201</v>
      </c>
    </row>
    <row r="168" spans="1:13" ht="13.2">
      <c r="A168" s="24" t="s">
        <v>1396</v>
      </c>
      <c r="B168" s="24" t="s">
        <v>1394</v>
      </c>
      <c r="C168" s="24">
        <v>0.5</v>
      </c>
      <c r="D168" s="24">
        <v>1265</v>
      </c>
      <c r="E168" s="24">
        <v>2520</v>
      </c>
      <c r="F168" s="30" t="s">
        <v>1252</v>
      </c>
      <c r="G168" s="24" t="s">
        <v>1222</v>
      </c>
      <c r="H168" s="24" t="s">
        <v>49</v>
      </c>
      <c r="I168" s="24" t="s">
        <v>1237</v>
      </c>
      <c r="K168" s="24" t="s">
        <v>1224</v>
      </c>
      <c r="L168" s="24" t="s">
        <v>1225</v>
      </c>
      <c r="M168" s="24" t="str">
        <f t="shared" si="2"/>
        <v>XCYPPA01</v>
      </c>
    </row>
    <row r="169" spans="1:13" ht="13.2">
      <c r="A169" s="24" t="s">
        <v>1397</v>
      </c>
      <c r="B169" s="24" t="s">
        <v>1394</v>
      </c>
      <c r="C169" s="24">
        <v>0.5</v>
      </c>
      <c r="D169" s="24">
        <v>1265</v>
      </c>
      <c r="E169" s="24">
        <v>2520</v>
      </c>
      <c r="F169" s="24" t="s">
        <v>1252</v>
      </c>
      <c r="G169" s="24" t="s">
        <v>1222</v>
      </c>
      <c r="H169" s="24" t="s">
        <v>49</v>
      </c>
      <c r="I169" s="24" t="s">
        <v>1237</v>
      </c>
      <c r="K169" s="24" t="s">
        <v>1224</v>
      </c>
      <c r="L169" s="24" t="s">
        <v>1225</v>
      </c>
      <c r="M169" s="24" t="str">
        <f t="shared" si="2"/>
        <v>XCYPPA01</v>
      </c>
    </row>
    <row r="170" spans="1:13" ht="13.2">
      <c r="A170" s="24" t="s">
        <v>1398</v>
      </c>
      <c r="B170" s="24" t="s">
        <v>1394</v>
      </c>
      <c r="C170" s="24">
        <v>0.5</v>
      </c>
      <c r="D170" s="24">
        <v>1265</v>
      </c>
      <c r="E170" s="24">
        <v>2520</v>
      </c>
      <c r="F170" s="30" t="s">
        <v>1252</v>
      </c>
      <c r="G170" s="24" t="s">
        <v>1222</v>
      </c>
      <c r="H170" s="24" t="s">
        <v>1137</v>
      </c>
      <c r="I170" s="24" t="s">
        <v>1223</v>
      </c>
      <c r="K170" s="24" t="s">
        <v>1224</v>
      </c>
      <c r="L170" s="24" t="s">
        <v>1225</v>
      </c>
      <c r="M170" s="24" t="str">
        <f t="shared" si="2"/>
        <v>XCYPBB01</v>
      </c>
    </row>
    <row r="171" spans="1:13" ht="13.2">
      <c r="A171" s="24" t="s">
        <v>1399</v>
      </c>
      <c r="B171" s="24" t="s">
        <v>1394</v>
      </c>
      <c r="C171" s="24">
        <v>0.5</v>
      </c>
      <c r="D171" s="24">
        <v>1265</v>
      </c>
      <c r="E171" s="24">
        <v>2520</v>
      </c>
      <c r="F171" s="30" t="s">
        <v>1252</v>
      </c>
      <c r="G171" s="24" t="s">
        <v>1222</v>
      </c>
      <c r="H171" s="24" t="s">
        <v>1137</v>
      </c>
      <c r="I171" s="24" t="s">
        <v>1223</v>
      </c>
      <c r="K171" s="24" t="s">
        <v>1224</v>
      </c>
      <c r="L171" s="24" t="s">
        <v>1225</v>
      </c>
      <c r="M171" s="24" t="str">
        <f t="shared" si="2"/>
        <v>XCYPBB01</v>
      </c>
    </row>
    <row r="172" spans="1:13" ht="13.2">
      <c r="A172" s="24" t="s">
        <v>1400</v>
      </c>
      <c r="B172" s="24" t="s">
        <v>1394</v>
      </c>
      <c r="C172" s="24">
        <v>0.5</v>
      </c>
      <c r="D172" s="24">
        <v>1265</v>
      </c>
      <c r="E172" s="24">
        <v>2520</v>
      </c>
      <c r="F172" s="30" t="s">
        <v>1252</v>
      </c>
      <c r="G172" s="24" t="s">
        <v>1222</v>
      </c>
      <c r="H172" s="24" t="s">
        <v>1137</v>
      </c>
      <c r="I172" s="24" t="s">
        <v>1237</v>
      </c>
      <c r="K172" s="24" t="s">
        <v>1224</v>
      </c>
      <c r="L172" s="24" t="s">
        <v>1225</v>
      </c>
      <c r="M172" s="24" t="str">
        <f t="shared" si="2"/>
        <v>XCYPPB01</v>
      </c>
    </row>
    <row r="173" spans="1:13" ht="13.2">
      <c r="A173" s="24" t="s">
        <v>1401</v>
      </c>
      <c r="B173" s="24" t="s">
        <v>1394</v>
      </c>
      <c r="C173" s="24">
        <v>0.5</v>
      </c>
      <c r="D173" s="24">
        <v>1265</v>
      </c>
      <c r="E173" s="24">
        <v>2520</v>
      </c>
      <c r="F173" s="24" t="s">
        <v>1252</v>
      </c>
      <c r="G173" s="24" t="s">
        <v>1222</v>
      </c>
      <c r="H173" s="24" t="s">
        <v>1137</v>
      </c>
      <c r="I173" s="24" t="s">
        <v>1237</v>
      </c>
      <c r="K173" s="24" t="s">
        <v>1224</v>
      </c>
      <c r="L173" s="24" t="s">
        <v>1225</v>
      </c>
      <c r="M173" s="24" t="str">
        <f t="shared" si="2"/>
        <v>XCYPPB01</v>
      </c>
    </row>
    <row r="174" spans="1:13" ht="13.2">
      <c r="A174" s="24" t="s">
        <v>1402</v>
      </c>
      <c r="B174" s="24" t="s">
        <v>1394</v>
      </c>
      <c r="C174" s="24">
        <v>0.5</v>
      </c>
      <c r="D174" s="24">
        <v>1265</v>
      </c>
      <c r="E174" s="24">
        <v>2520</v>
      </c>
      <c r="F174" s="30" t="s">
        <v>1252</v>
      </c>
      <c r="G174" s="24" t="s">
        <v>1222</v>
      </c>
      <c r="H174" s="24" t="s">
        <v>1278</v>
      </c>
      <c r="I174" s="24" t="s">
        <v>1237</v>
      </c>
      <c r="K174" s="24" t="s">
        <v>1224</v>
      </c>
      <c r="L174" s="24" t="s">
        <v>1225</v>
      </c>
      <c r="M174" s="24" t="str">
        <f t="shared" si="2"/>
        <v>XCYPPC01</v>
      </c>
    </row>
    <row r="175" spans="1:13" ht="13.2">
      <c r="A175" s="24" t="s">
        <v>1403</v>
      </c>
      <c r="B175" s="24" t="s">
        <v>1394</v>
      </c>
      <c r="C175" s="24">
        <v>0.5</v>
      </c>
      <c r="D175" s="24">
        <v>1265</v>
      </c>
      <c r="E175" s="24">
        <v>2520</v>
      </c>
      <c r="F175" s="30" t="s">
        <v>1252</v>
      </c>
      <c r="G175" s="24" t="s">
        <v>1222</v>
      </c>
      <c r="H175" s="24" t="s">
        <v>1278</v>
      </c>
      <c r="I175" s="24" t="s">
        <v>1237</v>
      </c>
      <c r="K175" s="24" t="s">
        <v>1224</v>
      </c>
      <c r="L175" s="24" t="s">
        <v>1225</v>
      </c>
      <c r="M175" s="24" t="str">
        <f t="shared" si="2"/>
        <v>XCYPPC01</v>
      </c>
    </row>
    <row r="176" spans="1:13" ht="13.2">
      <c r="A176" s="24" t="s">
        <v>1404</v>
      </c>
      <c r="B176" s="24" t="s">
        <v>1394</v>
      </c>
      <c r="C176" s="24">
        <v>0.5</v>
      </c>
      <c r="D176" s="24">
        <v>1265</v>
      </c>
      <c r="E176" s="24">
        <v>2520</v>
      </c>
      <c r="F176" s="30" t="s">
        <v>1252</v>
      </c>
      <c r="G176" s="24" t="s">
        <v>1222</v>
      </c>
      <c r="H176" s="24" t="s">
        <v>1286</v>
      </c>
      <c r="I176" s="24" t="s">
        <v>1237</v>
      </c>
      <c r="K176" s="24" t="s">
        <v>1224</v>
      </c>
      <c r="L176" s="24" t="s">
        <v>1225</v>
      </c>
      <c r="M176" s="24" t="str">
        <f t="shared" si="2"/>
        <v>XCYPPR01</v>
      </c>
    </row>
    <row r="177" spans="1:13" ht="13.2">
      <c r="A177" s="24" t="s">
        <v>1405</v>
      </c>
      <c r="B177" s="24" t="s">
        <v>1394</v>
      </c>
      <c r="C177" s="24">
        <v>0.5</v>
      </c>
      <c r="D177" s="24">
        <v>1265</v>
      </c>
      <c r="E177" s="24">
        <v>2520</v>
      </c>
      <c r="F177" s="30" t="s">
        <v>1252</v>
      </c>
      <c r="G177" s="24" t="s">
        <v>1222</v>
      </c>
      <c r="H177" s="24" t="s">
        <v>1286</v>
      </c>
      <c r="I177" s="24" t="s">
        <v>1237</v>
      </c>
      <c r="K177" s="24" t="s">
        <v>1224</v>
      </c>
      <c r="L177" s="24" t="s">
        <v>1225</v>
      </c>
      <c r="M177" s="24" t="str">
        <f t="shared" si="2"/>
        <v>XCYPPR01</v>
      </c>
    </row>
    <row r="178" spans="1:13" ht="13.2">
      <c r="A178" s="24" t="s">
        <v>1406</v>
      </c>
      <c r="B178" s="24" t="s">
        <v>1407</v>
      </c>
      <c r="C178" s="24">
        <v>0.15</v>
      </c>
      <c r="D178" s="24">
        <v>630</v>
      </c>
      <c r="E178" s="24">
        <v>2200</v>
      </c>
      <c r="F178" s="30" t="s">
        <v>1252</v>
      </c>
      <c r="G178" s="24" t="s">
        <v>1296</v>
      </c>
      <c r="H178" s="24" t="s">
        <v>1115</v>
      </c>
      <c r="I178" s="24" t="s">
        <v>1297</v>
      </c>
      <c r="J178" s="24" t="s">
        <v>1408</v>
      </c>
      <c r="K178" s="24" t="s">
        <v>1224</v>
      </c>
      <c r="L178" s="24" t="s">
        <v>1409</v>
      </c>
      <c r="M178" s="24" t="str">
        <f t="shared" si="2"/>
        <v>XENRWF11</v>
      </c>
    </row>
    <row r="179" spans="1:13" ht="13.2">
      <c r="A179" s="24" t="s">
        <v>1410</v>
      </c>
      <c r="B179" s="24" t="s">
        <v>1407</v>
      </c>
      <c r="C179" s="24">
        <v>0.15</v>
      </c>
      <c r="D179" s="24">
        <v>730</v>
      </c>
      <c r="E179" s="24">
        <v>2200</v>
      </c>
      <c r="F179" s="30" t="s">
        <v>1252</v>
      </c>
      <c r="G179" s="24" t="s">
        <v>1296</v>
      </c>
      <c r="H179" s="24" t="s">
        <v>1115</v>
      </c>
      <c r="I179" s="24" t="s">
        <v>1297</v>
      </c>
      <c r="J179" s="24" t="s">
        <v>1408</v>
      </c>
      <c r="K179" s="24" t="s">
        <v>1224</v>
      </c>
      <c r="L179" s="24" t="s">
        <v>1409</v>
      </c>
      <c r="M179" s="24" t="str">
        <f t="shared" si="2"/>
        <v>XENRWF12</v>
      </c>
    </row>
    <row r="180" spans="1:13" ht="13.2">
      <c r="A180" s="24" t="s">
        <v>1411</v>
      </c>
      <c r="B180" s="24" t="s">
        <v>1407</v>
      </c>
      <c r="C180" s="24">
        <v>0.15</v>
      </c>
      <c r="D180" s="24">
        <v>780</v>
      </c>
      <c r="E180" s="24">
        <v>2200</v>
      </c>
      <c r="F180" s="30" t="s">
        <v>1252</v>
      </c>
      <c r="G180" s="24" t="s">
        <v>1296</v>
      </c>
      <c r="H180" s="24" t="s">
        <v>1115</v>
      </c>
      <c r="I180" s="24" t="s">
        <v>1297</v>
      </c>
      <c r="J180" s="24" t="s">
        <v>1408</v>
      </c>
      <c r="K180" s="24" t="s">
        <v>1224</v>
      </c>
      <c r="L180" s="24" t="s">
        <v>1409</v>
      </c>
      <c r="M180" s="24" t="str">
        <f t="shared" si="2"/>
        <v>XENRWF13</v>
      </c>
    </row>
    <row r="181" spans="1:13" ht="13.2">
      <c r="A181" s="24" t="s">
        <v>1412</v>
      </c>
      <c r="B181" s="24" t="s">
        <v>1407</v>
      </c>
      <c r="C181" s="24">
        <v>0.15</v>
      </c>
      <c r="D181" s="24">
        <v>930</v>
      </c>
      <c r="E181" s="24">
        <v>2200</v>
      </c>
      <c r="F181" s="30" t="s">
        <v>1252</v>
      </c>
      <c r="G181" s="24" t="s">
        <v>1296</v>
      </c>
      <c r="H181" s="24" t="s">
        <v>1115</v>
      </c>
      <c r="I181" s="24" t="s">
        <v>1297</v>
      </c>
      <c r="J181" s="24" t="s">
        <v>1408</v>
      </c>
      <c r="K181" s="24" t="s">
        <v>1224</v>
      </c>
      <c r="L181" s="24" t="s">
        <v>1409</v>
      </c>
      <c r="M181" s="24" t="str">
        <f t="shared" si="2"/>
        <v>XENRWF14</v>
      </c>
    </row>
    <row r="182" spans="1:13" ht="13.2">
      <c r="A182" s="24" t="s">
        <v>1413</v>
      </c>
      <c r="B182" s="24" t="s">
        <v>1407</v>
      </c>
      <c r="C182" s="24">
        <v>0.15</v>
      </c>
      <c r="D182" s="24">
        <v>830</v>
      </c>
      <c r="E182" s="24">
        <v>2200</v>
      </c>
      <c r="F182" s="30" t="s">
        <v>1252</v>
      </c>
      <c r="G182" s="24" t="s">
        <v>1296</v>
      </c>
      <c r="H182" s="24" t="s">
        <v>1115</v>
      </c>
      <c r="I182" s="24" t="s">
        <v>1297</v>
      </c>
      <c r="J182" s="24" t="s">
        <v>1408</v>
      </c>
      <c r="K182" s="24" t="s">
        <v>1224</v>
      </c>
      <c r="L182" s="24" t="s">
        <v>1409</v>
      </c>
      <c r="M182" s="24" t="str">
        <f t="shared" si="2"/>
        <v>XENRWF17</v>
      </c>
    </row>
    <row r="183" spans="1:13" ht="13.2">
      <c r="A183" s="24" t="s">
        <v>1414</v>
      </c>
      <c r="B183" s="24" t="s">
        <v>1407</v>
      </c>
      <c r="C183" s="24">
        <v>0.15</v>
      </c>
      <c r="D183" s="24">
        <v>630</v>
      </c>
      <c r="E183" s="24">
        <v>2200</v>
      </c>
      <c r="F183" s="30" t="s">
        <v>1252</v>
      </c>
      <c r="G183" s="24" t="s">
        <v>1296</v>
      </c>
      <c r="H183" s="24" t="s">
        <v>1115</v>
      </c>
      <c r="I183" s="24" t="s">
        <v>1297</v>
      </c>
      <c r="J183" s="24" t="s">
        <v>1408</v>
      </c>
      <c r="K183" s="24" t="s">
        <v>1224</v>
      </c>
      <c r="L183" s="24" t="s">
        <v>1409</v>
      </c>
      <c r="M183" s="24" t="str">
        <f t="shared" si="2"/>
        <v>XENRWF11</v>
      </c>
    </row>
    <row r="184" spans="1:13" ht="13.2">
      <c r="A184" s="24" t="s">
        <v>1415</v>
      </c>
      <c r="B184" s="24" t="s">
        <v>1407</v>
      </c>
      <c r="C184" s="24">
        <v>0.15</v>
      </c>
      <c r="D184" s="24">
        <v>730</v>
      </c>
      <c r="E184" s="24">
        <v>2200</v>
      </c>
      <c r="F184" s="30" t="s">
        <v>1252</v>
      </c>
      <c r="G184" s="24" t="s">
        <v>1296</v>
      </c>
      <c r="H184" s="24" t="s">
        <v>1115</v>
      </c>
      <c r="I184" s="24" t="s">
        <v>1297</v>
      </c>
      <c r="J184" s="24" t="s">
        <v>1408</v>
      </c>
      <c r="K184" s="24" t="s">
        <v>1224</v>
      </c>
      <c r="L184" s="24" t="s">
        <v>1409</v>
      </c>
      <c r="M184" s="24" t="str">
        <f t="shared" si="2"/>
        <v>XENRWF12</v>
      </c>
    </row>
    <row r="185" spans="1:13" ht="13.2">
      <c r="A185" s="24" t="s">
        <v>1416</v>
      </c>
      <c r="B185" s="24" t="s">
        <v>1407</v>
      </c>
      <c r="C185" s="24">
        <v>0.15</v>
      </c>
      <c r="D185" s="24">
        <v>780</v>
      </c>
      <c r="E185" s="24">
        <v>2200</v>
      </c>
      <c r="F185" s="30" t="s">
        <v>1252</v>
      </c>
      <c r="G185" s="24" t="s">
        <v>1296</v>
      </c>
      <c r="H185" s="24" t="s">
        <v>1115</v>
      </c>
      <c r="I185" s="24" t="s">
        <v>1297</v>
      </c>
      <c r="J185" s="24" t="s">
        <v>1408</v>
      </c>
      <c r="K185" s="24" t="s">
        <v>1224</v>
      </c>
      <c r="L185" s="24" t="s">
        <v>1409</v>
      </c>
      <c r="M185" s="24" t="str">
        <f t="shared" si="2"/>
        <v>XENRWF13</v>
      </c>
    </row>
    <row r="186" spans="1:13" ht="13.2">
      <c r="A186" s="24" t="s">
        <v>1417</v>
      </c>
      <c r="B186" s="24" t="s">
        <v>1407</v>
      </c>
      <c r="C186" s="24">
        <v>0.15</v>
      </c>
      <c r="D186" s="24">
        <v>930</v>
      </c>
      <c r="E186" s="24">
        <v>2200</v>
      </c>
      <c r="F186" s="30" t="s">
        <v>1252</v>
      </c>
      <c r="G186" s="24" t="s">
        <v>1296</v>
      </c>
      <c r="H186" s="24" t="s">
        <v>1115</v>
      </c>
      <c r="I186" s="24" t="s">
        <v>1297</v>
      </c>
      <c r="J186" s="24" t="s">
        <v>1408</v>
      </c>
      <c r="K186" s="24" t="s">
        <v>1224</v>
      </c>
      <c r="L186" s="24" t="s">
        <v>1409</v>
      </c>
      <c r="M186" s="24" t="str">
        <f t="shared" si="2"/>
        <v>XENRWF14</v>
      </c>
    </row>
    <row r="187" spans="1:13" ht="13.2">
      <c r="A187" s="24" t="s">
        <v>1418</v>
      </c>
      <c r="B187" s="24" t="s">
        <v>1407</v>
      </c>
      <c r="C187" s="24">
        <v>0.15</v>
      </c>
      <c r="D187" s="24">
        <v>830</v>
      </c>
      <c r="E187" s="24">
        <v>2200</v>
      </c>
      <c r="F187" s="30" t="s">
        <v>1252</v>
      </c>
      <c r="G187" s="24" t="s">
        <v>1296</v>
      </c>
      <c r="H187" s="24" t="s">
        <v>1115</v>
      </c>
      <c r="I187" s="24" t="s">
        <v>1297</v>
      </c>
      <c r="J187" s="24" t="s">
        <v>1408</v>
      </c>
      <c r="K187" s="24" t="s">
        <v>1224</v>
      </c>
      <c r="L187" s="24" t="s">
        <v>1409</v>
      </c>
      <c r="M187" s="24" t="str">
        <f t="shared" si="2"/>
        <v>XENRWF17</v>
      </c>
    </row>
    <row r="188" spans="1:13" ht="13.2">
      <c r="A188" s="24" t="s">
        <v>1419</v>
      </c>
      <c r="B188" s="24" t="s">
        <v>1407</v>
      </c>
      <c r="C188" s="24">
        <v>0.15</v>
      </c>
      <c r="D188" s="24">
        <v>930</v>
      </c>
      <c r="E188" s="24">
        <v>2460</v>
      </c>
      <c r="F188" s="30" t="s">
        <v>1252</v>
      </c>
      <c r="G188" s="24" t="s">
        <v>1296</v>
      </c>
      <c r="H188" s="24" t="s">
        <v>1115</v>
      </c>
      <c r="I188" s="24" t="s">
        <v>1297</v>
      </c>
      <c r="J188" s="24" t="s">
        <v>1408</v>
      </c>
      <c r="K188" s="24" t="s">
        <v>1224</v>
      </c>
      <c r="L188" s="24" t="s">
        <v>1409</v>
      </c>
      <c r="M188" s="24" t="str">
        <f t="shared" si="2"/>
        <v>XENRWF15</v>
      </c>
    </row>
    <row r="189" spans="1:13" ht="13.2">
      <c r="A189" s="24" t="s">
        <v>1420</v>
      </c>
      <c r="B189" s="24" t="s">
        <v>1407</v>
      </c>
      <c r="C189" s="24">
        <v>0.15</v>
      </c>
      <c r="D189" s="24">
        <v>930</v>
      </c>
      <c r="E189" s="24">
        <v>2460</v>
      </c>
      <c r="F189" s="30" t="s">
        <v>1252</v>
      </c>
      <c r="G189" s="24" t="s">
        <v>1296</v>
      </c>
      <c r="H189" s="24" t="s">
        <v>1115</v>
      </c>
      <c r="I189" s="24" t="s">
        <v>1297</v>
      </c>
      <c r="J189" s="24" t="s">
        <v>1408</v>
      </c>
      <c r="K189" s="24" t="s">
        <v>1224</v>
      </c>
      <c r="L189" s="24" t="s">
        <v>1409</v>
      </c>
      <c r="M189" s="24" t="str">
        <f t="shared" si="2"/>
        <v>XENRWF15</v>
      </c>
    </row>
    <row r="190" spans="1:13" ht="13.2">
      <c r="A190" s="24" t="s">
        <v>1421</v>
      </c>
      <c r="B190" s="24" t="s">
        <v>1407</v>
      </c>
      <c r="C190" s="24">
        <v>0.2</v>
      </c>
      <c r="D190" s="24">
        <v>1240</v>
      </c>
      <c r="E190" s="24">
        <v>2460</v>
      </c>
      <c r="F190" s="30" t="s">
        <v>1252</v>
      </c>
      <c r="G190" s="24" t="s">
        <v>1296</v>
      </c>
      <c r="H190" s="24" t="s">
        <v>1422</v>
      </c>
      <c r="I190" s="24" t="s">
        <v>1297</v>
      </c>
      <c r="J190" s="24" t="s">
        <v>1408</v>
      </c>
      <c r="K190" s="24" t="s">
        <v>1224</v>
      </c>
      <c r="L190" s="24" t="s">
        <v>1409</v>
      </c>
      <c r="M190" s="24" t="str">
        <f t="shared" si="2"/>
        <v>XENRWF16</v>
      </c>
    </row>
    <row r="191" spans="1:13" ht="13.2">
      <c r="A191" s="24" t="s">
        <v>1423</v>
      </c>
      <c r="B191" s="24" t="s">
        <v>1407</v>
      </c>
      <c r="C191" s="24">
        <v>0.2</v>
      </c>
      <c r="D191" s="24">
        <v>1240</v>
      </c>
      <c r="E191" s="24">
        <v>2460</v>
      </c>
      <c r="F191" s="30" t="s">
        <v>1252</v>
      </c>
      <c r="G191" s="24" t="s">
        <v>1296</v>
      </c>
      <c r="H191" s="24" t="s">
        <v>1422</v>
      </c>
      <c r="I191" s="24" t="s">
        <v>1297</v>
      </c>
      <c r="J191" s="24" t="s">
        <v>1408</v>
      </c>
      <c r="K191" s="24" t="s">
        <v>1224</v>
      </c>
      <c r="L191" s="24" t="s">
        <v>1409</v>
      </c>
      <c r="M191" s="24" t="str">
        <f t="shared" si="2"/>
        <v>XENRWF16</v>
      </c>
    </row>
    <row r="192" spans="1:13" ht="13.2">
      <c r="A192" s="24" t="s">
        <v>1424</v>
      </c>
      <c r="B192" s="24" t="s">
        <v>1425</v>
      </c>
      <c r="C192" s="24">
        <v>0.5</v>
      </c>
      <c r="D192" s="24">
        <v>1265</v>
      </c>
      <c r="E192" s="24">
        <v>2520</v>
      </c>
      <c r="F192" s="30" t="s">
        <v>1221</v>
      </c>
      <c r="G192" s="24" t="s">
        <v>1240</v>
      </c>
      <c r="H192" s="24" t="s">
        <v>1244</v>
      </c>
      <c r="I192" s="24" t="s">
        <v>1297</v>
      </c>
      <c r="K192" s="24" t="s">
        <v>1224</v>
      </c>
      <c r="L192" s="24" t="s">
        <v>1225</v>
      </c>
      <c r="M192" s="24" t="str">
        <f t="shared" si="2"/>
        <v>XEPZW202</v>
      </c>
    </row>
    <row r="193" spans="1:13" ht="13.2">
      <c r="A193" s="24" t="s">
        <v>1426</v>
      </c>
      <c r="B193" s="24" t="s">
        <v>1425</v>
      </c>
      <c r="C193" s="24">
        <v>0.5</v>
      </c>
      <c r="D193" s="24">
        <v>1265</v>
      </c>
      <c r="E193" s="24">
        <v>2520</v>
      </c>
      <c r="F193" s="30" t="s">
        <v>1221</v>
      </c>
      <c r="G193" s="24" t="s">
        <v>1240</v>
      </c>
      <c r="H193" s="24" t="s">
        <v>1244</v>
      </c>
      <c r="I193" s="24" t="s">
        <v>1297</v>
      </c>
      <c r="K193" s="24" t="s">
        <v>1224</v>
      </c>
      <c r="L193" s="24" t="s">
        <v>1225</v>
      </c>
      <c r="M193" s="24" t="str">
        <f t="shared" si="2"/>
        <v>XEPZW202</v>
      </c>
    </row>
    <row r="194" spans="1:13" ht="13.2">
      <c r="A194" s="24" t="s">
        <v>1427</v>
      </c>
      <c r="B194" s="24" t="s">
        <v>1428</v>
      </c>
      <c r="C194" s="24">
        <v>0.5</v>
      </c>
      <c r="D194" s="24">
        <v>1265</v>
      </c>
      <c r="E194" s="24">
        <v>2520</v>
      </c>
      <c r="F194" s="30" t="s">
        <v>1221</v>
      </c>
      <c r="G194" s="24" t="s">
        <v>1222</v>
      </c>
      <c r="H194" s="24" t="s">
        <v>1109</v>
      </c>
      <c r="I194" s="24" t="s">
        <v>1230</v>
      </c>
      <c r="K194" s="24" t="s">
        <v>1224</v>
      </c>
      <c r="L194" s="24" t="s">
        <v>1225</v>
      </c>
      <c r="M194" s="24" t="str">
        <f t="shared" ref="M194:M257" si="3">RIGHT(A194,8)</f>
        <v>XHIPM101</v>
      </c>
    </row>
    <row r="195" spans="1:13" ht="13.2">
      <c r="A195" s="24" t="s">
        <v>236</v>
      </c>
      <c r="B195" s="24" t="s">
        <v>1428</v>
      </c>
      <c r="C195" s="24">
        <v>0.5</v>
      </c>
      <c r="D195" s="24">
        <v>1265</v>
      </c>
      <c r="E195" s="24">
        <v>2520</v>
      </c>
      <c r="F195" s="30" t="s">
        <v>1221</v>
      </c>
      <c r="G195" s="24" t="s">
        <v>1222</v>
      </c>
      <c r="H195" s="24" t="s">
        <v>1109</v>
      </c>
      <c r="I195" s="24" t="s">
        <v>1230</v>
      </c>
      <c r="K195" s="24" t="s">
        <v>1224</v>
      </c>
      <c r="L195" s="24" t="s">
        <v>1225</v>
      </c>
      <c r="M195" s="24" t="str">
        <f t="shared" si="3"/>
        <v>XHIPM101</v>
      </c>
    </row>
    <row r="196" spans="1:13" ht="13.2">
      <c r="A196" s="24" t="s">
        <v>1429</v>
      </c>
      <c r="B196" s="24" t="s">
        <v>1428</v>
      </c>
      <c r="C196" s="24">
        <v>0.5</v>
      </c>
      <c r="D196" s="24">
        <v>1265</v>
      </c>
      <c r="E196" s="24">
        <v>2520</v>
      </c>
      <c r="F196" s="30" t="s">
        <v>1221</v>
      </c>
      <c r="G196" s="24" t="s">
        <v>1222</v>
      </c>
      <c r="H196" s="24" t="s">
        <v>1244</v>
      </c>
      <c r="I196" s="24" t="s">
        <v>1230</v>
      </c>
      <c r="K196" s="24" t="s">
        <v>1224</v>
      </c>
      <c r="L196" s="24" t="s">
        <v>1225</v>
      </c>
      <c r="M196" s="24" t="str">
        <f t="shared" si="3"/>
        <v>XHIPM201</v>
      </c>
    </row>
    <row r="197" spans="1:13" ht="13.2">
      <c r="A197" s="24" t="s">
        <v>239</v>
      </c>
      <c r="B197" s="24" t="s">
        <v>1428</v>
      </c>
      <c r="C197" s="24">
        <v>0.5</v>
      </c>
      <c r="D197" s="24">
        <v>1265</v>
      </c>
      <c r="E197" s="24">
        <v>2520</v>
      </c>
      <c r="F197" s="30" t="s">
        <v>1221</v>
      </c>
      <c r="G197" s="24" t="s">
        <v>1222</v>
      </c>
      <c r="H197" s="24" t="s">
        <v>1244</v>
      </c>
      <c r="I197" s="24" t="s">
        <v>1230</v>
      </c>
      <c r="K197" s="24" t="s">
        <v>1224</v>
      </c>
      <c r="L197" s="24" t="s">
        <v>1225</v>
      </c>
      <c r="M197" s="24" t="str">
        <f t="shared" si="3"/>
        <v>XHIPM201</v>
      </c>
    </row>
    <row r="198" spans="1:13" ht="13.2">
      <c r="A198" s="24" t="s">
        <v>1430</v>
      </c>
      <c r="B198" s="24" t="s">
        <v>1428</v>
      </c>
      <c r="C198" s="24">
        <v>0.5</v>
      </c>
      <c r="D198" s="24">
        <v>1265</v>
      </c>
      <c r="E198" s="24">
        <v>2520</v>
      </c>
      <c r="F198" s="30" t="s">
        <v>1252</v>
      </c>
      <c r="G198" s="24" t="s">
        <v>1222</v>
      </c>
      <c r="H198" s="24" t="s">
        <v>1431</v>
      </c>
      <c r="I198" s="24" t="s">
        <v>1223</v>
      </c>
      <c r="K198" s="24" t="s">
        <v>1224</v>
      </c>
      <c r="L198" s="24" t="s">
        <v>1225</v>
      </c>
      <c r="M198" s="24" t="str">
        <f t="shared" si="3"/>
        <v>XHIPBA01</v>
      </c>
    </row>
    <row r="199" spans="1:13" ht="13.2">
      <c r="A199" s="24" t="s">
        <v>1432</v>
      </c>
      <c r="B199" s="24" t="s">
        <v>1428</v>
      </c>
      <c r="C199" s="24">
        <v>0.5</v>
      </c>
      <c r="D199" s="24">
        <v>1265</v>
      </c>
      <c r="E199" s="24">
        <v>2520</v>
      </c>
      <c r="F199" s="30" t="s">
        <v>1252</v>
      </c>
      <c r="G199" s="24" t="s">
        <v>1222</v>
      </c>
      <c r="H199" s="24" t="s">
        <v>1431</v>
      </c>
      <c r="I199" s="24" t="s">
        <v>1223</v>
      </c>
      <c r="K199" s="24" t="s">
        <v>1224</v>
      </c>
      <c r="L199" s="24" t="s">
        <v>1225</v>
      </c>
      <c r="M199" s="24" t="str">
        <f t="shared" si="3"/>
        <v>XHIPBA01</v>
      </c>
    </row>
    <row r="200" spans="1:13" ht="13.2">
      <c r="A200" s="24" t="s">
        <v>1433</v>
      </c>
      <c r="B200" s="24" t="s">
        <v>1428</v>
      </c>
      <c r="C200" s="24">
        <v>0.5</v>
      </c>
      <c r="D200" s="24">
        <v>1265</v>
      </c>
      <c r="E200" s="24">
        <v>2520</v>
      </c>
      <c r="F200" s="30" t="s">
        <v>1252</v>
      </c>
      <c r="G200" s="24" t="s">
        <v>1222</v>
      </c>
      <c r="H200" s="24" t="s">
        <v>1434</v>
      </c>
      <c r="I200" s="24" t="s">
        <v>1223</v>
      </c>
      <c r="K200" s="24" t="s">
        <v>1224</v>
      </c>
      <c r="L200" s="24" t="s">
        <v>1225</v>
      </c>
      <c r="M200" s="24" t="str">
        <f t="shared" si="3"/>
        <v>XHIPBB01</v>
      </c>
    </row>
    <row r="201" spans="1:13" ht="13.2">
      <c r="A201" s="24" t="s">
        <v>1435</v>
      </c>
      <c r="B201" s="24" t="s">
        <v>1428</v>
      </c>
      <c r="C201" s="24">
        <v>0.5</v>
      </c>
      <c r="D201" s="24">
        <v>1265</v>
      </c>
      <c r="E201" s="24">
        <v>2520</v>
      </c>
      <c r="F201" s="30" t="s">
        <v>1252</v>
      </c>
      <c r="G201" s="24" t="s">
        <v>1222</v>
      </c>
      <c r="H201" s="24" t="s">
        <v>1434</v>
      </c>
      <c r="I201" s="24" t="s">
        <v>1223</v>
      </c>
      <c r="K201" s="24" t="s">
        <v>1224</v>
      </c>
      <c r="L201" s="24" t="s">
        <v>1225</v>
      </c>
      <c r="M201" s="24" t="str">
        <f t="shared" si="3"/>
        <v>XHIPBB01</v>
      </c>
    </row>
    <row r="202" spans="1:13" ht="13.2">
      <c r="A202" s="24" t="s">
        <v>1436</v>
      </c>
      <c r="B202" s="24" t="s">
        <v>1428</v>
      </c>
      <c r="C202" s="24">
        <v>0.5</v>
      </c>
      <c r="D202" s="24">
        <v>1265</v>
      </c>
      <c r="E202" s="24">
        <v>2520</v>
      </c>
      <c r="F202" s="30" t="s">
        <v>1252</v>
      </c>
      <c r="G202" s="24" t="s">
        <v>1222</v>
      </c>
      <c r="H202" s="24" t="s">
        <v>1437</v>
      </c>
      <c r="I202" s="24" t="s">
        <v>1223</v>
      </c>
      <c r="K202" s="24" t="s">
        <v>1224</v>
      </c>
      <c r="L202" s="24" t="s">
        <v>1225</v>
      </c>
      <c r="M202" s="24" t="str">
        <f t="shared" si="3"/>
        <v>XHIPBB02</v>
      </c>
    </row>
    <row r="203" spans="1:13" ht="13.2">
      <c r="A203" s="24" t="s">
        <v>235</v>
      </c>
      <c r="B203" s="24" t="s">
        <v>1428</v>
      </c>
      <c r="C203" s="24">
        <v>0.5</v>
      </c>
      <c r="D203" s="24">
        <v>1265</v>
      </c>
      <c r="E203" s="24">
        <v>2520</v>
      </c>
      <c r="F203" s="30" t="s">
        <v>1252</v>
      </c>
      <c r="G203" s="24" t="s">
        <v>1222</v>
      </c>
      <c r="H203" s="24" t="s">
        <v>1437</v>
      </c>
      <c r="I203" s="24" t="s">
        <v>1223</v>
      </c>
      <c r="K203" s="24" t="s">
        <v>1224</v>
      </c>
      <c r="L203" s="24" t="s">
        <v>1225</v>
      </c>
      <c r="M203" s="24" t="str">
        <f t="shared" si="3"/>
        <v>XHIPBB02</v>
      </c>
    </row>
    <row r="204" spans="1:13" ht="13.2">
      <c r="A204" s="24" t="s">
        <v>1438</v>
      </c>
      <c r="B204" s="24" t="s">
        <v>1428</v>
      </c>
      <c r="C204" s="24">
        <v>0.5</v>
      </c>
      <c r="D204" s="24">
        <v>1265</v>
      </c>
      <c r="E204" s="24">
        <v>2520</v>
      </c>
      <c r="F204" s="30" t="s">
        <v>1252</v>
      </c>
      <c r="G204" s="24" t="s">
        <v>1222</v>
      </c>
      <c r="H204" s="24" t="s">
        <v>1439</v>
      </c>
      <c r="I204" s="24" t="s">
        <v>1223</v>
      </c>
      <c r="K204" s="24" t="s">
        <v>1224</v>
      </c>
      <c r="L204" s="24" t="s">
        <v>1225</v>
      </c>
      <c r="M204" s="24" t="str">
        <f t="shared" si="3"/>
        <v>XHIPBB03</v>
      </c>
    </row>
    <row r="205" spans="1:13" ht="13.2">
      <c r="A205" s="24" t="s">
        <v>250</v>
      </c>
      <c r="B205" s="24" t="s">
        <v>1428</v>
      </c>
      <c r="C205" s="24">
        <v>0.5</v>
      </c>
      <c r="D205" s="24">
        <v>1265</v>
      </c>
      <c r="E205" s="24">
        <v>2520</v>
      </c>
      <c r="F205" s="30" t="s">
        <v>1252</v>
      </c>
      <c r="G205" s="24" t="s">
        <v>1222</v>
      </c>
      <c r="H205" s="24" t="s">
        <v>1439</v>
      </c>
      <c r="I205" s="24" t="s">
        <v>1223</v>
      </c>
      <c r="K205" s="24" t="s">
        <v>1224</v>
      </c>
      <c r="L205" s="24" t="s">
        <v>1225</v>
      </c>
      <c r="M205" s="24" t="str">
        <f t="shared" si="3"/>
        <v>XHIPBB03</v>
      </c>
    </row>
    <row r="206" spans="1:13" ht="13.2">
      <c r="A206" s="24" t="s">
        <v>1440</v>
      </c>
      <c r="B206" s="24" t="s">
        <v>1428</v>
      </c>
      <c r="C206" s="24">
        <v>0.5</v>
      </c>
      <c r="D206" s="24">
        <v>1265</v>
      </c>
      <c r="E206" s="24">
        <v>2520</v>
      </c>
      <c r="F206" s="30" t="s">
        <v>1240</v>
      </c>
      <c r="G206" s="24" t="s">
        <v>1222</v>
      </c>
      <c r="H206" s="24" t="s">
        <v>1286</v>
      </c>
      <c r="I206" s="24" t="s">
        <v>1237</v>
      </c>
      <c r="K206" s="24" t="s">
        <v>1224</v>
      </c>
      <c r="L206" s="24" t="s">
        <v>1225</v>
      </c>
      <c r="M206" s="24" t="str">
        <f t="shared" si="3"/>
        <v>XHIPPR01</v>
      </c>
    </row>
    <row r="207" spans="1:13" ht="13.2">
      <c r="A207" s="24" t="s">
        <v>1441</v>
      </c>
      <c r="B207" s="24" t="s">
        <v>1428</v>
      </c>
      <c r="C207" s="24">
        <v>0.5</v>
      </c>
      <c r="D207" s="24">
        <v>1265</v>
      </c>
      <c r="E207" s="24">
        <v>2520</v>
      </c>
      <c r="F207" s="30" t="s">
        <v>1240</v>
      </c>
      <c r="G207" s="24" t="s">
        <v>1222</v>
      </c>
      <c r="H207" s="24" t="s">
        <v>1286</v>
      </c>
      <c r="I207" s="24" t="s">
        <v>1237</v>
      </c>
      <c r="K207" s="24" t="s">
        <v>1224</v>
      </c>
      <c r="L207" s="24" t="s">
        <v>1225</v>
      </c>
      <c r="M207" s="24" t="str">
        <f t="shared" si="3"/>
        <v>XHIPPR01</v>
      </c>
    </row>
    <row r="208" spans="1:13" ht="13.2">
      <c r="A208" s="24" t="s">
        <v>1442</v>
      </c>
      <c r="B208" s="24" t="s">
        <v>1443</v>
      </c>
      <c r="C208" s="24">
        <v>0.5</v>
      </c>
      <c r="D208" s="24">
        <v>1265</v>
      </c>
      <c r="E208" s="24">
        <v>2520</v>
      </c>
      <c r="F208" s="30" t="s">
        <v>1221</v>
      </c>
      <c r="G208" s="24" t="s">
        <v>1222</v>
      </c>
      <c r="H208" s="24" t="s">
        <v>1244</v>
      </c>
      <c r="I208" s="24" t="s">
        <v>1223</v>
      </c>
      <c r="K208" s="24" t="s">
        <v>1224</v>
      </c>
      <c r="L208" s="24" t="s">
        <v>1225</v>
      </c>
      <c r="M208" s="24" t="str">
        <f t="shared" si="3"/>
        <v>XKHPB201</v>
      </c>
    </row>
    <row r="209" spans="1:13" ht="13.2">
      <c r="A209" s="24" t="s">
        <v>1444</v>
      </c>
      <c r="B209" s="24" t="s">
        <v>1443</v>
      </c>
      <c r="C209" s="24">
        <v>0.5</v>
      </c>
      <c r="D209" s="24">
        <v>1265</v>
      </c>
      <c r="E209" s="24">
        <v>2520</v>
      </c>
      <c r="F209" s="30" t="s">
        <v>1221</v>
      </c>
      <c r="G209" s="24" t="s">
        <v>1222</v>
      </c>
      <c r="H209" s="24" t="s">
        <v>1244</v>
      </c>
      <c r="I209" s="24" t="s">
        <v>1223</v>
      </c>
      <c r="K209" s="24" t="s">
        <v>1224</v>
      </c>
      <c r="L209" s="24" t="s">
        <v>1225</v>
      </c>
      <c r="M209" s="24" t="str">
        <f t="shared" si="3"/>
        <v>XKHPB201</v>
      </c>
    </row>
    <row r="210" spans="1:13" ht="13.2">
      <c r="A210" s="24" t="s">
        <v>1445</v>
      </c>
      <c r="B210" s="24" t="s">
        <v>1443</v>
      </c>
      <c r="C210" s="24">
        <v>0.5</v>
      </c>
      <c r="D210" s="24">
        <v>1265</v>
      </c>
      <c r="E210" s="24">
        <v>2520</v>
      </c>
      <c r="F210" s="30" t="s">
        <v>1252</v>
      </c>
      <c r="G210" s="24" t="s">
        <v>1222</v>
      </c>
      <c r="H210" s="24" t="s">
        <v>49</v>
      </c>
      <c r="I210" s="24" t="s">
        <v>1223</v>
      </c>
      <c r="K210" s="24" t="s">
        <v>1224</v>
      </c>
      <c r="L210" s="24" t="s">
        <v>1225</v>
      </c>
      <c r="M210" s="24" t="str">
        <f t="shared" si="3"/>
        <v>XKHPBA01</v>
      </c>
    </row>
    <row r="211" spans="1:13" ht="13.2">
      <c r="A211" s="24" t="s">
        <v>1446</v>
      </c>
      <c r="B211" s="24" t="s">
        <v>1443</v>
      </c>
      <c r="C211" s="24">
        <v>0.5</v>
      </c>
      <c r="D211" s="24">
        <v>1265</v>
      </c>
      <c r="E211" s="24">
        <v>2520</v>
      </c>
      <c r="F211" s="30" t="s">
        <v>1252</v>
      </c>
      <c r="G211" s="24" t="s">
        <v>1222</v>
      </c>
      <c r="H211" s="24" t="s">
        <v>49</v>
      </c>
      <c r="I211" s="24" t="s">
        <v>1223</v>
      </c>
      <c r="K211" s="24" t="s">
        <v>1224</v>
      </c>
      <c r="L211" s="24" t="s">
        <v>1225</v>
      </c>
      <c r="M211" s="24" t="str">
        <f t="shared" si="3"/>
        <v>XKHPBA01</v>
      </c>
    </row>
    <row r="212" spans="1:13" ht="13.2">
      <c r="A212" s="24" t="s">
        <v>1447</v>
      </c>
      <c r="B212" s="24" t="s">
        <v>1448</v>
      </c>
      <c r="C212" s="24">
        <v>0.5</v>
      </c>
      <c r="D212" s="24">
        <v>1265</v>
      </c>
      <c r="E212" s="24">
        <v>2520</v>
      </c>
      <c r="F212" s="30" t="s">
        <v>1221</v>
      </c>
      <c r="G212" s="24" t="s">
        <v>1222</v>
      </c>
      <c r="H212" s="24" t="s">
        <v>1109</v>
      </c>
      <c r="I212" s="24" t="s">
        <v>1230</v>
      </c>
      <c r="K212" s="24" t="s">
        <v>1224</v>
      </c>
      <c r="L212" s="24" t="s">
        <v>1225</v>
      </c>
      <c r="M212" s="24" t="str">
        <f t="shared" si="3"/>
        <v>XKNPM101</v>
      </c>
    </row>
    <row r="213" spans="1:13" ht="13.2">
      <c r="A213" s="24" t="s">
        <v>1449</v>
      </c>
      <c r="B213" s="24" t="s">
        <v>1448</v>
      </c>
      <c r="C213" s="24">
        <v>0.5</v>
      </c>
      <c r="D213" s="24">
        <v>1265</v>
      </c>
      <c r="E213" s="24">
        <v>2520</v>
      </c>
      <c r="F213" s="30" t="s">
        <v>1221</v>
      </c>
      <c r="G213" s="24" t="s">
        <v>1222</v>
      </c>
      <c r="H213" s="24" t="s">
        <v>1109</v>
      </c>
      <c r="I213" s="24" t="s">
        <v>1230</v>
      </c>
      <c r="K213" s="24" t="s">
        <v>1224</v>
      </c>
      <c r="L213" s="24" t="s">
        <v>1225</v>
      </c>
      <c r="M213" s="24" t="str">
        <f t="shared" si="3"/>
        <v>XKNPM101</v>
      </c>
    </row>
    <row r="214" spans="1:13" ht="13.2">
      <c r="A214" s="24" t="s">
        <v>1450</v>
      </c>
      <c r="B214" s="24" t="s">
        <v>1448</v>
      </c>
      <c r="C214" s="24">
        <v>0.5</v>
      </c>
      <c r="D214" s="24">
        <v>1265</v>
      </c>
      <c r="E214" s="24">
        <v>2520</v>
      </c>
      <c r="F214" s="30" t="s">
        <v>1221</v>
      </c>
      <c r="G214" s="24" t="s">
        <v>1222</v>
      </c>
      <c r="H214" s="24" t="s">
        <v>1244</v>
      </c>
      <c r="I214" s="24" t="s">
        <v>1237</v>
      </c>
      <c r="K214" s="24" t="s">
        <v>1224</v>
      </c>
      <c r="L214" s="24" t="s">
        <v>1225</v>
      </c>
      <c r="M214" s="24" t="str">
        <f t="shared" si="3"/>
        <v>XKNPP201</v>
      </c>
    </row>
    <row r="215" spans="1:13" ht="13.2">
      <c r="A215" s="24" t="s">
        <v>254</v>
      </c>
      <c r="B215" s="24" t="s">
        <v>1448</v>
      </c>
      <c r="C215" s="24">
        <v>0.5</v>
      </c>
      <c r="D215" s="24">
        <v>1265</v>
      </c>
      <c r="E215" s="24">
        <v>2520</v>
      </c>
      <c r="F215" s="30" t="s">
        <v>1221</v>
      </c>
      <c r="G215" s="24" t="s">
        <v>1222</v>
      </c>
      <c r="H215" s="24" t="s">
        <v>1244</v>
      </c>
      <c r="I215" s="24" t="s">
        <v>1237</v>
      </c>
      <c r="K215" s="24" t="s">
        <v>1224</v>
      </c>
      <c r="L215" s="24" t="s">
        <v>1225</v>
      </c>
      <c r="M215" s="24" t="str">
        <f t="shared" si="3"/>
        <v>XKNPP201</v>
      </c>
    </row>
    <row r="216" spans="1:13" ht="13.2">
      <c r="A216" s="24" t="s">
        <v>1451</v>
      </c>
      <c r="B216" s="24" t="s">
        <v>1448</v>
      </c>
      <c r="C216" s="24">
        <v>0.5</v>
      </c>
      <c r="D216" s="24">
        <v>1265</v>
      </c>
      <c r="E216" s="24">
        <v>2520</v>
      </c>
      <c r="F216" s="30" t="s">
        <v>1252</v>
      </c>
      <c r="G216" s="24" t="s">
        <v>1222</v>
      </c>
      <c r="H216" s="24" t="s">
        <v>49</v>
      </c>
      <c r="I216" s="24" t="s">
        <v>1237</v>
      </c>
      <c r="K216" s="24" t="s">
        <v>1224</v>
      </c>
      <c r="L216" s="24" t="s">
        <v>1225</v>
      </c>
      <c r="M216" s="24" t="str">
        <f t="shared" si="3"/>
        <v>XKNPPA01</v>
      </c>
    </row>
    <row r="217" spans="1:13" ht="13.2">
      <c r="A217" s="24" t="s">
        <v>253</v>
      </c>
      <c r="B217" s="24" t="s">
        <v>1448</v>
      </c>
      <c r="C217" s="24">
        <v>0.5</v>
      </c>
      <c r="D217" s="24">
        <v>1265</v>
      </c>
      <c r="E217" s="24">
        <v>2520</v>
      </c>
      <c r="F217" s="30" t="s">
        <v>1252</v>
      </c>
      <c r="G217" s="24" t="s">
        <v>1222</v>
      </c>
      <c r="H217" s="24" t="s">
        <v>49</v>
      </c>
      <c r="I217" s="24" t="s">
        <v>1237</v>
      </c>
      <c r="K217" s="24" t="s">
        <v>1224</v>
      </c>
      <c r="L217" s="24" t="s">
        <v>1225</v>
      </c>
      <c r="M217" s="24" t="str">
        <f t="shared" si="3"/>
        <v>XKNPPA01</v>
      </c>
    </row>
    <row r="218" spans="1:13" ht="13.2">
      <c r="A218" s="24" t="s">
        <v>1452</v>
      </c>
      <c r="B218" s="24" t="s">
        <v>1448</v>
      </c>
      <c r="C218" s="24">
        <v>0.5</v>
      </c>
      <c r="D218" s="24">
        <v>1265</v>
      </c>
      <c r="E218" s="24">
        <v>2520</v>
      </c>
      <c r="F218" s="30" t="s">
        <v>1252</v>
      </c>
      <c r="G218" s="24" t="s">
        <v>1222</v>
      </c>
      <c r="H218" s="24" t="s">
        <v>1137</v>
      </c>
      <c r="I218" s="24" t="s">
        <v>1237</v>
      </c>
      <c r="K218" s="24" t="s">
        <v>1224</v>
      </c>
      <c r="L218" s="24" t="s">
        <v>1225</v>
      </c>
      <c r="M218" s="24" t="str">
        <f t="shared" si="3"/>
        <v>XKNPPB01</v>
      </c>
    </row>
    <row r="219" spans="1:13" ht="13.2">
      <c r="A219" s="24" t="s">
        <v>1453</v>
      </c>
      <c r="B219" s="24" t="s">
        <v>1448</v>
      </c>
      <c r="C219" s="24">
        <v>0.5</v>
      </c>
      <c r="D219" s="24">
        <v>1265</v>
      </c>
      <c r="E219" s="24">
        <v>2520</v>
      </c>
      <c r="F219" s="30" t="s">
        <v>1252</v>
      </c>
      <c r="G219" s="24" t="s">
        <v>1222</v>
      </c>
      <c r="H219" s="24" t="s">
        <v>1137</v>
      </c>
      <c r="I219" s="24" t="s">
        <v>1237</v>
      </c>
      <c r="K219" s="24" t="s">
        <v>1224</v>
      </c>
      <c r="L219" s="24" t="s">
        <v>1225</v>
      </c>
      <c r="M219" s="24" t="str">
        <f t="shared" si="3"/>
        <v>XKNPPB01</v>
      </c>
    </row>
    <row r="220" spans="1:13" ht="13.2">
      <c r="A220" s="24" t="s">
        <v>1454</v>
      </c>
      <c r="B220" s="24" t="s">
        <v>1455</v>
      </c>
      <c r="C220" s="24">
        <v>0.5</v>
      </c>
      <c r="D220" s="24">
        <v>1265</v>
      </c>
      <c r="E220" s="24">
        <v>2520</v>
      </c>
      <c r="F220" s="30" t="s">
        <v>1252</v>
      </c>
      <c r="G220" s="24" t="s">
        <v>1222</v>
      </c>
      <c r="H220" s="24" t="s">
        <v>49</v>
      </c>
      <c r="I220" s="24" t="s">
        <v>1223</v>
      </c>
      <c r="K220" s="24" t="s">
        <v>1224</v>
      </c>
      <c r="L220" s="24" t="s">
        <v>1225</v>
      </c>
      <c r="M220" s="24" t="str">
        <f t="shared" si="3"/>
        <v>XMHPBA01</v>
      </c>
    </row>
    <row r="221" spans="1:13" ht="13.2">
      <c r="A221" s="24" t="s">
        <v>1456</v>
      </c>
      <c r="B221" s="24" t="s">
        <v>1455</v>
      </c>
      <c r="C221" s="24">
        <v>0.5</v>
      </c>
      <c r="D221" s="24">
        <v>1265</v>
      </c>
      <c r="E221" s="24">
        <v>2520</v>
      </c>
      <c r="F221" s="30" t="s">
        <v>1252</v>
      </c>
      <c r="G221" s="24" t="s">
        <v>1222</v>
      </c>
      <c r="H221" s="24" t="s">
        <v>49</v>
      </c>
      <c r="I221" s="24" t="s">
        <v>1223</v>
      </c>
      <c r="K221" s="24" t="s">
        <v>1224</v>
      </c>
      <c r="L221" s="24" t="s">
        <v>1225</v>
      </c>
      <c r="M221" s="24" t="str">
        <f t="shared" si="3"/>
        <v>XMHPBA01</v>
      </c>
    </row>
    <row r="222" spans="1:13" ht="13.2">
      <c r="A222" s="24" t="s">
        <v>1457</v>
      </c>
      <c r="B222" s="24" t="s">
        <v>1455</v>
      </c>
      <c r="C222" s="24">
        <v>0.5</v>
      </c>
      <c r="D222" s="24">
        <v>1265</v>
      </c>
      <c r="E222" s="24">
        <v>2520</v>
      </c>
      <c r="F222" s="30" t="s">
        <v>1252</v>
      </c>
      <c r="G222" s="24" t="s">
        <v>1222</v>
      </c>
      <c r="H222" s="24" t="s">
        <v>1137</v>
      </c>
      <c r="I222" s="24" t="s">
        <v>1223</v>
      </c>
      <c r="K222" s="24" t="s">
        <v>1224</v>
      </c>
      <c r="L222" s="24" t="s">
        <v>1225</v>
      </c>
      <c r="M222" s="24" t="str">
        <f t="shared" si="3"/>
        <v>XMHPBB01</v>
      </c>
    </row>
    <row r="223" spans="1:13" ht="13.2">
      <c r="A223" s="24" t="s">
        <v>1458</v>
      </c>
      <c r="B223" s="24" t="s">
        <v>1455</v>
      </c>
      <c r="C223" s="24">
        <v>0.5</v>
      </c>
      <c r="D223" s="24">
        <v>1265</v>
      </c>
      <c r="E223" s="24">
        <v>2520</v>
      </c>
      <c r="F223" s="30" t="s">
        <v>1252</v>
      </c>
      <c r="G223" s="24" t="s">
        <v>1222</v>
      </c>
      <c r="H223" s="24" t="s">
        <v>1137</v>
      </c>
      <c r="I223" s="24" t="s">
        <v>1223</v>
      </c>
      <c r="K223" s="24" t="s">
        <v>1224</v>
      </c>
      <c r="L223" s="24" t="s">
        <v>1225</v>
      </c>
      <c r="M223" s="24" t="str">
        <f t="shared" si="3"/>
        <v>XMHPBB01</v>
      </c>
    </row>
    <row r="224" spans="1:13" ht="13.2">
      <c r="A224" s="24" t="s">
        <v>1459</v>
      </c>
      <c r="B224" s="24" t="s">
        <v>1460</v>
      </c>
      <c r="C224" s="24">
        <v>0.5</v>
      </c>
      <c r="D224" s="24">
        <v>1245</v>
      </c>
      <c r="E224" s="24">
        <v>2465</v>
      </c>
      <c r="F224" s="30" t="s">
        <v>1240</v>
      </c>
      <c r="G224" s="24" t="s">
        <v>1240</v>
      </c>
      <c r="H224" s="24" t="s">
        <v>1240</v>
      </c>
      <c r="I224" s="24" t="s">
        <v>1240</v>
      </c>
      <c r="K224" s="24" t="s">
        <v>1224</v>
      </c>
      <c r="L224" s="24" t="s">
        <v>1225</v>
      </c>
      <c r="M224" s="24" t="str">
        <f t="shared" si="3"/>
        <v>XMDZZZ01</v>
      </c>
    </row>
    <row r="225" spans="1:13" ht="13.2">
      <c r="A225" s="24" t="s">
        <v>1461</v>
      </c>
      <c r="B225" s="24" t="s">
        <v>1460</v>
      </c>
      <c r="C225" s="24">
        <v>0.5</v>
      </c>
      <c r="D225" s="24">
        <v>1245</v>
      </c>
      <c r="E225" s="24">
        <v>2465</v>
      </c>
      <c r="F225" s="30" t="s">
        <v>1240</v>
      </c>
      <c r="G225" s="24" t="s">
        <v>1240</v>
      </c>
      <c r="H225" s="24" t="s">
        <v>1240</v>
      </c>
      <c r="I225" s="24" t="s">
        <v>1240</v>
      </c>
      <c r="K225" s="24" t="s">
        <v>1224</v>
      </c>
      <c r="L225" s="24" t="s">
        <v>1225</v>
      </c>
      <c r="M225" s="24" t="str">
        <f t="shared" si="3"/>
        <v>XMDZZZ01</v>
      </c>
    </row>
    <row r="226" spans="1:13" ht="13.2">
      <c r="A226" s="24" t="s">
        <v>1462</v>
      </c>
      <c r="B226" s="24" t="s">
        <v>1463</v>
      </c>
      <c r="C226" s="24">
        <v>0.3</v>
      </c>
      <c r="D226" s="24">
        <v>1265</v>
      </c>
      <c r="E226" s="24">
        <v>2520</v>
      </c>
      <c r="F226" s="30" t="s">
        <v>1221</v>
      </c>
      <c r="G226" s="24" t="s">
        <v>1240</v>
      </c>
      <c r="H226" s="24" t="s">
        <v>1250</v>
      </c>
      <c r="I226" s="24" t="s">
        <v>1240</v>
      </c>
      <c r="K226" s="24" t="s">
        <v>1224</v>
      </c>
      <c r="L226" s="24" t="s">
        <v>1225</v>
      </c>
      <c r="M226" s="24" t="str">
        <f t="shared" si="3"/>
        <v>XMOZZ401</v>
      </c>
    </row>
    <row r="227" spans="1:13" ht="13.2">
      <c r="A227" s="24" t="s">
        <v>1464</v>
      </c>
      <c r="B227" s="24" t="s">
        <v>1463</v>
      </c>
      <c r="C227" s="24">
        <v>0.3</v>
      </c>
      <c r="D227" s="24">
        <v>1265</v>
      </c>
      <c r="E227" s="24">
        <v>2520</v>
      </c>
      <c r="F227" s="30" t="s">
        <v>1221</v>
      </c>
      <c r="G227" s="24" t="s">
        <v>1240</v>
      </c>
      <c r="H227" s="24" t="s">
        <v>1250</v>
      </c>
      <c r="I227" s="24" t="s">
        <v>1240</v>
      </c>
      <c r="K227" s="24" t="s">
        <v>1224</v>
      </c>
      <c r="L227" s="24" t="s">
        <v>1225</v>
      </c>
      <c r="M227" s="24" t="str">
        <f t="shared" si="3"/>
        <v>XMOZZ401</v>
      </c>
    </row>
    <row r="228" spans="1:13" ht="13.2">
      <c r="A228" s="24" t="s">
        <v>1201</v>
      </c>
      <c r="B228" s="24" t="s">
        <v>1463</v>
      </c>
      <c r="C228" s="24">
        <v>0.5</v>
      </c>
      <c r="D228" s="24">
        <v>1265</v>
      </c>
      <c r="E228" s="24">
        <v>2520</v>
      </c>
      <c r="F228" s="30" t="s">
        <v>1221</v>
      </c>
      <c r="G228" s="24" t="s">
        <v>1240</v>
      </c>
      <c r="H228" s="24" t="s">
        <v>1250</v>
      </c>
      <c r="I228" s="24" t="s">
        <v>1240</v>
      </c>
      <c r="K228" s="24" t="s">
        <v>1224</v>
      </c>
      <c r="L228" s="24" t="s">
        <v>1225</v>
      </c>
      <c r="M228" s="24" t="str">
        <f t="shared" si="3"/>
        <v>XMOZZ402</v>
      </c>
    </row>
    <row r="229" spans="1:13" ht="13.2">
      <c r="A229" s="24" t="s">
        <v>1465</v>
      </c>
      <c r="B229" s="24" t="s">
        <v>1463</v>
      </c>
      <c r="C229" s="24">
        <v>0.5</v>
      </c>
      <c r="D229" s="24">
        <v>1265</v>
      </c>
      <c r="E229" s="24">
        <v>2520</v>
      </c>
      <c r="F229" s="30" t="s">
        <v>1221</v>
      </c>
      <c r="G229" s="24" t="s">
        <v>1240</v>
      </c>
      <c r="H229" s="24" t="s">
        <v>1250</v>
      </c>
      <c r="I229" s="24" t="s">
        <v>1240</v>
      </c>
      <c r="K229" s="24" t="s">
        <v>1224</v>
      </c>
      <c r="L229" s="24" t="s">
        <v>1225</v>
      </c>
      <c r="M229" s="24" t="str">
        <f t="shared" si="3"/>
        <v>XMOZZ402</v>
      </c>
    </row>
    <row r="230" spans="1:13" ht="13.2">
      <c r="A230" s="24" t="s">
        <v>1466</v>
      </c>
      <c r="B230" s="24" t="s">
        <v>1467</v>
      </c>
      <c r="C230" s="24">
        <v>0.25</v>
      </c>
      <c r="D230" s="24">
        <v>965</v>
      </c>
      <c r="E230" s="24">
        <v>2200</v>
      </c>
      <c r="F230" s="30" t="s">
        <v>1252</v>
      </c>
      <c r="G230" s="24" t="s">
        <v>1296</v>
      </c>
      <c r="H230" s="24" t="s">
        <v>1115</v>
      </c>
      <c r="I230" s="24" t="s">
        <v>1297</v>
      </c>
      <c r="K230" s="24" t="s">
        <v>1224</v>
      </c>
      <c r="L230" s="24" t="s">
        <v>1409</v>
      </c>
      <c r="M230" s="24" t="str">
        <f t="shared" si="3"/>
        <v>XNBRWF15</v>
      </c>
    </row>
    <row r="231" spans="1:13" ht="13.2">
      <c r="A231" s="24" t="s">
        <v>1468</v>
      </c>
      <c r="B231" s="24" t="s">
        <v>1467</v>
      </c>
      <c r="C231" s="24">
        <v>0.25</v>
      </c>
      <c r="D231" s="24">
        <v>990</v>
      </c>
      <c r="E231" s="24">
        <v>2200</v>
      </c>
      <c r="F231" s="30" t="s">
        <v>1252</v>
      </c>
      <c r="G231" s="24" t="s">
        <v>1296</v>
      </c>
      <c r="H231" s="24" t="s">
        <v>1115</v>
      </c>
      <c r="I231" s="24" t="s">
        <v>1297</v>
      </c>
      <c r="K231" s="24" t="s">
        <v>1224</v>
      </c>
      <c r="L231" s="24" t="s">
        <v>1409</v>
      </c>
      <c r="M231" s="24" t="str">
        <f t="shared" si="3"/>
        <v>XNBRWF18</v>
      </c>
    </row>
    <row r="232" spans="1:13" ht="13.2">
      <c r="A232" s="24" t="s">
        <v>1469</v>
      </c>
      <c r="B232" s="24" t="s">
        <v>1467</v>
      </c>
      <c r="C232" s="24">
        <v>0.25</v>
      </c>
      <c r="D232" s="24">
        <v>1265</v>
      </c>
      <c r="E232" s="24">
        <v>2200</v>
      </c>
      <c r="F232" s="30" t="s">
        <v>1252</v>
      </c>
      <c r="G232" s="24" t="s">
        <v>1296</v>
      </c>
      <c r="H232" s="24" t="s">
        <v>1115</v>
      </c>
      <c r="I232" s="24" t="s">
        <v>1297</v>
      </c>
      <c r="K232" s="24" t="s">
        <v>1224</v>
      </c>
      <c r="L232" s="24" t="s">
        <v>1409</v>
      </c>
      <c r="M232" s="24" t="str">
        <f t="shared" si="3"/>
        <v>XNBRWF21</v>
      </c>
    </row>
    <row r="233" spans="1:13" ht="13.2">
      <c r="A233" s="24" t="s">
        <v>802</v>
      </c>
      <c r="B233" s="24" t="s">
        <v>1467</v>
      </c>
      <c r="C233" s="24">
        <v>0.25</v>
      </c>
      <c r="D233" s="24">
        <v>965</v>
      </c>
      <c r="E233" s="24">
        <v>2200</v>
      </c>
      <c r="F233" s="30" t="s">
        <v>1252</v>
      </c>
      <c r="G233" s="24" t="s">
        <v>1296</v>
      </c>
      <c r="H233" s="24" t="s">
        <v>1115</v>
      </c>
      <c r="I233" s="24" t="s">
        <v>1297</v>
      </c>
      <c r="K233" s="24" t="s">
        <v>1224</v>
      </c>
      <c r="L233" s="24" t="s">
        <v>1409</v>
      </c>
      <c r="M233" s="24" t="str">
        <f t="shared" si="3"/>
        <v>XNBRWF15</v>
      </c>
    </row>
    <row r="234" spans="1:13" ht="13.2">
      <c r="A234" s="24" t="s">
        <v>1470</v>
      </c>
      <c r="B234" s="24" t="s">
        <v>1467</v>
      </c>
      <c r="C234" s="24">
        <v>0.25</v>
      </c>
      <c r="D234" s="24">
        <v>990</v>
      </c>
      <c r="E234" s="24">
        <v>2200</v>
      </c>
      <c r="F234" s="30" t="s">
        <v>1252</v>
      </c>
      <c r="G234" s="24" t="s">
        <v>1296</v>
      </c>
      <c r="H234" s="24" t="s">
        <v>1115</v>
      </c>
      <c r="I234" s="24" t="s">
        <v>1297</v>
      </c>
      <c r="K234" s="24" t="s">
        <v>1224</v>
      </c>
      <c r="L234" s="24" t="s">
        <v>1409</v>
      </c>
      <c r="M234" s="24" t="str">
        <f t="shared" si="3"/>
        <v>XNBRWF18</v>
      </c>
    </row>
    <row r="235" spans="1:13" ht="13.2">
      <c r="A235" s="24" t="s">
        <v>837</v>
      </c>
      <c r="B235" s="24" t="s">
        <v>1467</v>
      </c>
      <c r="C235" s="24">
        <v>0.25</v>
      </c>
      <c r="D235" s="24">
        <v>1265</v>
      </c>
      <c r="E235" s="24">
        <v>2200</v>
      </c>
      <c r="F235" s="30" t="s">
        <v>1252</v>
      </c>
      <c r="G235" s="24" t="s">
        <v>1296</v>
      </c>
      <c r="H235" s="24" t="s">
        <v>1115</v>
      </c>
      <c r="I235" s="24" t="s">
        <v>1297</v>
      </c>
      <c r="K235" s="24" t="s">
        <v>1224</v>
      </c>
      <c r="L235" s="24" t="s">
        <v>1409</v>
      </c>
      <c r="M235" s="24" t="str">
        <f t="shared" si="3"/>
        <v>XNBRWF21</v>
      </c>
    </row>
    <row r="236" spans="1:13" ht="13.2">
      <c r="A236" s="24" t="s">
        <v>1471</v>
      </c>
      <c r="B236" s="24" t="s">
        <v>1467</v>
      </c>
      <c r="C236" s="24">
        <v>0.25</v>
      </c>
      <c r="D236" s="24">
        <v>965</v>
      </c>
      <c r="E236" s="24">
        <v>2250</v>
      </c>
      <c r="F236" s="30" t="s">
        <v>1252</v>
      </c>
      <c r="G236" s="24" t="s">
        <v>1296</v>
      </c>
      <c r="H236" s="24" t="s">
        <v>1115</v>
      </c>
      <c r="I236" s="24" t="s">
        <v>1297</v>
      </c>
      <c r="K236" s="24" t="s">
        <v>1224</v>
      </c>
      <c r="L236" s="24" t="s">
        <v>1409</v>
      </c>
      <c r="M236" s="24" t="str">
        <f t="shared" si="3"/>
        <v>XNBRWF16</v>
      </c>
    </row>
    <row r="237" spans="1:13" ht="13.2">
      <c r="A237" s="24" t="s">
        <v>1472</v>
      </c>
      <c r="B237" s="24" t="s">
        <v>1467</v>
      </c>
      <c r="C237" s="24">
        <v>0.25</v>
      </c>
      <c r="D237" s="24">
        <v>1265</v>
      </c>
      <c r="E237" s="24">
        <v>2250</v>
      </c>
      <c r="F237" s="30" t="s">
        <v>1252</v>
      </c>
      <c r="G237" s="24" t="s">
        <v>1296</v>
      </c>
      <c r="H237" s="24" t="s">
        <v>1115</v>
      </c>
      <c r="I237" s="24" t="s">
        <v>1297</v>
      </c>
      <c r="K237" s="24" t="s">
        <v>1224</v>
      </c>
      <c r="L237" s="24" t="s">
        <v>1409</v>
      </c>
      <c r="M237" s="24" t="str">
        <f t="shared" si="3"/>
        <v>XNBRWF22</v>
      </c>
    </row>
    <row r="238" spans="1:13" ht="13.2">
      <c r="A238" s="24" t="s">
        <v>805</v>
      </c>
      <c r="B238" s="24" t="s">
        <v>1467</v>
      </c>
      <c r="C238" s="24">
        <v>0.25</v>
      </c>
      <c r="D238" s="24">
        <v>965</v>
      </c>
      <c r="E238" s="24">
        <v>2250</v>
      </c>
      <c r="F238" s="30" t="s">
        <v>1252</v>
      </c>
      <c r="G238" s="24" t="s">
        <v>1296</v>
      </c>
      <c r="H238" s="24" t="s">
        <v>1115</v>
      </c>
      <c r="I238" s="24" t="s">
        <v>1297</v>
      </c>
      <c r="K238" s="24" t="s">
        <v>1224</v>
      </c>
      <c r="L238" s="24" t="s">
        <v>1409</v>
      </c>
      <c r="M238" s="24" t="str">
        <f t="shared" si="3"/>
        <v>XNBRWF16</v>
      </c>
    </row>
    <row r="239" spans="1:13" ht="13.2">
      <c r="A239" s="24" t="s">
        <v>840</v>
      </c>
      <c r="B239" s="24" t="s">
        <v>1467</v>
      </c>
      <c r="C239" s="24">
        <v>0.25</v>
      </c>
      <c r="D239" s="24">
        <v>1265</v>
      </c>
      <c r="E239" s="24">
        <v>2250</v>
      </c>
      <c r="F239" s="30" t="s">
        <v>1252</v>
      </c>
      <c r="G239" s="24" t="s">
        <v>1296</v>
      </c>
      <c r="H239" s="24" t="s">
        <v>1115</v>
      </c>
      <c r="I239" s="24" t="s">
        <v>1297</v>
      </c>
      <c r="K239" s="24" t="s">
        <v>1224</v>
      </c>
      <c r="L239" s="24" t="s">
        <v>1409</v>
      </c>
      <c r="M239" s="24" t="str">
        <f t="shared" si="3"/>
        <v>XNBRWF22</v>
      </c>
    </row>
    <row r="240" spans="1:13" ht="13.2">
      <c r="A240" s="24" t="s">
        <v>1473</v>
      </c>
      <c r="B240" s="24" t="s">
        <v>1467</v>
      </c>
      <c r="C240" s="24">
        <v>0.25</v>
      </c>
      <c r="D240" s="24">
        <v>865</v>
      </c>
      <c r="E240" s="24">
        <v>2520</v>
      </c>
      <c r="F240" s="30" t="s">
        <v>1252</v>
      </c>
      <c r="G240" s="24" t="s">
        <v>1296</v>
      </c>
      <c r="H240" s="24" t="s">
        <v>1115</v>
      </c>
      <c r="I240" s="24" t="s">
        <v>1297</v>
      </c>
      <c r="K240" s="24" t="s">
        <v>1224</v>
      </c>
      <c r="L240" s="24" t="s">
        <v>1409</v>
      </c>
      <c r="M240" s="24" t="str">
        <f t="shared" si="3"/>
        <v>XNBRWF14</v>
      </c>
    </row>
    <row r="241" spans="1:13" ht="13.2">
      <c r="A241" s="24" t="s">
        <v>1474</v>
      </c>
      <c r="B241" s="24" t="s">
        <v>1467</v>
      </c>
      <c r="C241" s="24">
        <v>0.25</v>
      </c>
      <c r="D241" s="24">
        <v>965</v>
      </c>
      <c r="E241" s="24">
        <v>2520</v>
      </c>
      <c r="F241" s="30" t="s">
        <v>1252</v>
      </c>
      <c r="G241" s="24" t="s">
        <v>1296</v>
      </c>
      <c r="H241" s="24" t="s">
        <v>1115</v>
      </c>
      <c r="I241" s="24" t="s">
        <v>1297</v>
      </c>
      <c r="K241" s="24" t="s">
        <v>1224</v>
      </c>
      <c r="L241" s="24" t="s">
        <v>1409</v>
      </c>
      <c r="M241" s="24" t="str">
        <f t="shared" si="3"/>
        <v>XNBRWF17</v>
      </c>
    </row>
    <row r="242" spans="1:13" ht="13.2">
      <c r="A242" s="24" t="s">
        <v>1475</v>
      </c>
      <c r="B242" s="24" t="s">
        <v>1467</v>
      </c>
      <c r="C242" s="24">
        <v>0.25</v>
      </c>
      <c r="D242" s="24">
        <v>1265</v>
      </c>
      <c r="E242" s="24">
        <v>2520</v>
      </c>
      <c r="F242" s="30" t="s">
        <v>1252</v>
      </c>
      <c r="G242" s="24" t="s">
        <v>1296</v>
      </c>
      <c r="H242" s="24" t="s">
        <v>1115</v>
      </c>
      <c r="I242" s="24" t="s">
        <v>1297</v>
      </c>
      <c r="K242" s="24" t="s">
        <v>1224</v>
      </c>
      <c r="L242" s="24" t="s">
        <v>1409</v>
      </c>
      <c r="M242" s="24" t="str">
        <f t="shared" si="3"/>
        <v>XNBRWF23</v>
      </c>
    </row>
    <row r="243" spans="1:13" ht="13.2">
      <c r="A243" s="24" t="s">
        <v>1476</v>
      </c>
      <c r="B243" s="24" t="s">
        <v>1467</v>
      </c>
      <c r="C243" s="24">
        <v>0.25</v>
      </c>
      <c r="D243" s="24">
        <v>865</v>
      </c>
      <c r="E243" s="24">
        <v>2520</v>
      </c>
      <c r="F243" s="30" t="s">
        <v>1252</v>
      </c>
      <c r="G243" s="24" t="s">
        <v>1296</v>
      </c>
      <c r="H243" s="24" t="s">
        <v>1115</v>
      </c>
      <c r="I243" s="24" t="s">
        <v>1297</v>
      </c>
      <c r="K243" s="24" t="s">
        <v>1224</v>
      </c>
      <c r="L243" s="24" t="s">
        <v>1409</v>
      </c>
      <c r="M243" s="24" t="str">
        <f t="shared" si="3"/>
        <v>XNBRWF14</v>
      </c>
    </row>
    <row r="244" spans="1:13" ht="13.2">
      <c r="A244" s="24" t="s">
        <v>808</v>
      </c>
      <c r="B244" s="24" t="s">
        <v>1467</v>
      </c>
      <c r="C244" s="24">
        <v>0.25</v>
      </c>
      <c r="D244" s="24">
        <v>965</v>
      </c>
      <c r="E244" s="24">
        <v>2520</v>
      </c>
      <c r="F244" s="30" t="s">
        <v>1252</v>
      </c>
      <c r="G244" s="24" t="s">
        <v>1296</v>
      </c>
      <c r="H244" s="24" t="s">
        <v>1115</v>
      </c>
      <c r="I244" s="24" t="s">
        <v>1297</v>
      </c>
      <c r="K244" s="24" t="s">
        <v>1224</v>
      </c>
      <c r="L244" s="24" t="s">
        <v>1409</v>
      </c>
      <c r="M244" s="24" t="str">
        <f t="shared" si="3"/>
        <v>XNBRWF17</v>
      </c>
    </row>
    <row r="245" spans="1:13" ht="13.2">
      <c r="A245" s="24" t="s">
        <v>811</v>
      </c>
      <c r="B245" s="24" t="s">
        <v>1467</v>
      </c>
      <c r="C245" s="24">
        <v>0.25</v>
      </c>
      <c r="D245" s="24">
        <v>1265</v>
      </c>
      <c r="E245" s="24">
        <v>2520</v>
      </c>
      <c r="F245" s="30" t="s">
        <v>1252</v>
      </c>
      <c r="G245" s="24" t="s">
        <v>1296</v>
      </c>
      <c r="H245" s="24" t="s">
        <v>1115</v>
      </c>
      <c r="I245" s="24" t="s">
        <v>1297</v>
      </c>
      <c r="K245" s="24" t="s">
        <v>1224</v>
      </c>
      <c r="L245" s="24" t="s">
        <v>1409</v>
      </c>
      <c r="M245" s="24" t="str">
        <f t="shared" si="3"/>
        <v>XNBRWF23</v>
      </c>
    </row>
    <row r="246" spans="1:13" ht="13.2">
      <c r="A246" s="24" t="s">
        <v>1477</v>
      </c>
      <c r="B246" s="24" t="s">
        <v>1467</v>
      </c>
      <c r="C246" s="24">
        <v>0.3</v>
      </c>
      <c r="D246" s="24">
        <v>1265</v>
      </c>
      <c r="E246" s="24">
        <v>2520</v>
      </c>
      <c r="F246" s="30" t="s">
        <v>1221</v>
      </c>
      <c r="G246" s="24" t="s">
        <v>1296</v>
      </c>
      <c r="H246" s="24" t="s">
        <v>1478</v>
      </c>
      <c r="I246" s="24" t="s">
        <v>1297</v>
      </c>
      <c r="K246" s="24" t="s">
        <v>1224</v>
      </c>
      <c r="L246" s="24" t="s">
        <v>1225</v>
      </c>
      <c r="M246" s="24" t="str">
        <f t="shared" si="3"/>
        <v>XNBRW301</v>
      </c>
    </row>
    <row r="247" spans="1:13" ht="13.2">
      <c r="A247" s="24" t="s">
        <v>1479</v>
      </c>
      <c r="B247" s="24" t="s">
        <v>1467</v>
      </c>
      <c r="C247" s="24">
        <v>0.3</v>
      </c>
      <c r="D247" s="24">
        <v>1265</v>
      </c>
      <c r="E247" s="24">
        <v>2520</v>
      </c>
      <c r="F247" s="30" t="s">
        <v>1221</v>
      </c>
      <c r="G247" s="24" t="s">
        <v>1296</v>
      </c>
      <c r="H247" s="24" t="s">
        <v>1478</v>
      </c>
      <c r="I247" s="24" t="s">
        <v>1297</v>
      </c>
      <c r="K247" s="24" t="s">
        <v>1224</v>
      </c>
      <c r="L247" s="24" t="s">
        <v>1225</v>
      </c>
      <c r="M247" s="24" t="str">
        <f t="shared" si="3"/>
        <v>XNBRW301</v>
      </c>
    </row>
    <row r="248" spans="1:13" ht="13.2">
      <c r="A248" s="24" t="s">
        <v>1480</v>
      </c>
      <c r="B248" s="24" t="s">
        <v>1467</v>
      </c>
      <c r="C248" s="24">
        <v>0.3</v>
      </c>
      <c r="D248" s="24">
        <v>1265</v>
      </c>
      <c r="E248" s="24">
        <v>2520</v>
      </c>
      <c r="F248" s="30" t="s">
        <v>1252</v>
      </c>
      <c r="G248" s="24" t="s">
        <v>1296</v>
      </c>
      <c r="H248" s="24" t="s">
        <v>1302</v>
      </c>
      <c r="I248" s="24" t="s">
        <v>1297</v>
      </c>
      <c r="K248" s="24" t="s">
        <v>1224</v>
      </c>
      <c r="L248" s="24" t="s">
        <v>1225</v>
      </c>
      <c r="M248" s="24" t="str">
        <f t="shared" si="3"/>
        <v>XNBRWD01</v>
      </c>
    </row>
    <row r="249" spans="1:13" ht="13.2">
      <c r="A249" s="24" t="s">
        <v>1481</v>
      </c>
      <c r="B249" s="24" t="s">
        <v>1467</v>
      </c>
      <c r="C249" s="24">
        <v>0.3</v>
      </c>
      <c r="D249" s="24">
        <v>1265</v>
      </c>
      <c r="E249" s="24">
        <v>2520</v>
      </c>
      <c r="F249" s="30" t="s">
        <v>1252</v>
      </c>
      <c r="G249" s="24" t="s">
        <v>1296</v>
      </c>
      <c r="H249" s="24" t="s">
        <v>1302</v>
      </c>
      <c r="I249" s="24" t="s">
        <v>1297</v>
      </c>
      <c r="K249" s="24" t="s">
        <v>1224</v>
      </c>
      <c r="L249" s="24" t="s">
        <v>1225</v>
      </c>
      <c r="M249" s="24" t="str">
        <f t="shared" si="3"/>
        <v>XNBRWD01</v>
      </c>
    </row>
    <row r="250" spans="1:13" ht="13.2">
      <c r="A250" s="24" t="s">
        <v>1482</v>
      </c>
      <c r="B250" s="24" t="s">
        <v>1467</v>
      </c>
      <c r="C250" s="24">
        <v>0.35</v>
      </c>
      <c r="D250" s="24">
        <v>1265</v>
      </c>
      <c r="E250" s="24">
        <v>1900</v>
      </c>
      <c r="F250" s="30" t="s">
        <v>1221</v>
      </c>
      <c r="G250" s="24" t="s">
        <v>1296</v>
      </c>
      <c r="H250" s="24" t="s">
        <v>1244</v>
      </c>
      <c r="I250" s="24" t="s">
        <v>1230</v>
      </c>
      <c r="K250" s="24" t="s">
        <v>1224</v>
      </c>
      <c r="L250" s="24" t="s">
        <v>1225</v>
      </c>
      <c r="M250" s="24" t="str">
        <f t="shared" si="3"/>
        <v>XNBRM202</v>
      </c>
    </row>
    <row r="251" spans="1:13" ht="13.2">
      <c r="A251" s="24" t="s">
        <v>1483</v>
      </c>
      <c r="B251" s="24" t="s">
        <v>1467</v>
      </c>
      <c r="C251" s="24">
        <v>0.35</v>
      </c>
      <c r="D251" s="24">
        <v>1265</v>
      </c>
      <c r="E251" s="24">
        <v>1900</v>
      </c>
      <c r="F251" s="30" t="s">
        <v>1221</v>
      </c>
      <c r="G251" s="24" t="s">
        <v>1296</v>
      </c>
      <c r="H251" s="24" t="s">
        <v>1244</v>
      </c>
      <c r="I251" s="24" t="s">
        <v>1230</v>
      </c>
      <c r="K251" s="24" t="s">
        <v>1224</v>
      </c>
      <c r="L251" s="24" t="s">
        <v>1225</v>
      </c>
      <c r="M251" s="24" t="str">
        <f t="shared" si="3"/>
        <v>XNBRM202</v>
      </c>
    </row>
    <row r="252" spans="1:13" ht="13.2">
      <c r="A252" s="24" t="s">
        <v>1484</v>
      </c>
      <c r="B252" s="24" t="s">
        <v>1467</v>
      </c>
      <c r="C252" s="24">
        <v>0.35</v>
      </c>
      <c r="D252" s="24">
        <v>1265</v>
      </c>
      <c r="E252" s="24">
        <v>1900</v>
      </c>
      <c r="F252" s="30" t="s">
        <v>1221</v>
      </c>
      <c r="G252" s="24" t="s">
        <v>1296</v>
      </c>
      <c r="H252" s="24" t="s">
        <v>1485</v>
      </c>
      <c r="I252" s="24" t="s">
        <v>1297</v>
      </c>
      <c r="K252" s="24" t="s">
        <v>1224</v>
      </c>
      <c r="L252" s="24" t="s">
        <v>1225</v>
      </c>
      <c r="M252" s="24" t="str">
        <f t="shared" si="3"/>
        <v>XNBRWB02</v>
      </c>
    </row>
    <row r="253" spans="1:13" ht="13.2">
      <c r="A253" s="24" t="s">
        <v>1486</v>
      </c>
      <c r="B253" s="24" t="s">
        <v>1467</v>
      </c>
      <c r="C253" s="24">
        <v>0.35</v>
      </c>
      <c r="D253" s="24">
        <v>1265</v>
      </c>
      <c r="E253" s="24">
        <v>1900</v>
      </c>
      <c r="F253" s="30" t="s">
        <v>1221</v>
      </c>
      <c r="G253" s="24" t="s">
        <v>1296</v>
      </c>
      <c r="H253" s="24" t="s">
        <v>1485</v>
      </c>
      <c r="I253" s="24" t="s">
        <v>1297</v>
      </c>
      <c r="K253" s="24" t="s">
        <v>1224</v>
      </c>
      <c r="L253" s="24" t="s">
        <v>1225</v>
      </c>
      <c r="M253" s="24" t="str">
        <f t="shared" si="3"/>
        <v>XNBRWB02</v>
      </c>
    </row>
    <row r="254" spans="1:13" ht="13.2">
      <c r="A254" s="24" t="s">
        <v>1487</v>
      </c>
      <c r="B254" s="24" t="s">
        <v>1467</v>
      </c>
      <c r="C254" s="24">
        <v>0.5</v>
      </c>
      <c r="D254" s="24">
        <v>965</v>
      </c>
      <c r="E254" s="24">
        <v>2800</v>
      </c>
      <c r="F254" s="30" t="s">
        <v>1252</v>
      </c>
      <c r="G254" s="24" t="s">
        <v>1222</v>
      </c>
      <c r="H254" s="24" t="s">
        <v>1380</v>
      </c>
      <c r="I254" s="24" t="s">
        <v>1223</v>
      </c>
      <c r="K254" s="24" t="s">
        <v>1224</v>
      </c>
      <c r="L254" s="24" t="s">
        <v>1339</v>
      </c>
      <c r="M254" s="24" t="str">
        <f t="shared" si="3"/>
        <v>XNBPBA01</v>
      </c>
    </row>
    <row r="255" spans="1:13" ht="13.2">
      <c r="A255" s="24" t="s">
        <v>1488</v>
      </c>
      <c r="B255" s="24" t="s">
        <v>1467</v>
      </c>
      <c r="C255" s="24">
        <v>0.5</v>
      </c>
      <c r="D255" s="24">
        <v>965</v>
      </c>
      <c r="E255" s="24">
        <v>2800</v>
      </c>
      <c r="F255" s="30" t="s">
        <v>1252</v>
      </c>
      <c r="G255" s="24" t="s">
        <v>1222</v>
      </c>
      <c r="H255" s="24" t="s">
        <v>1380</v>
      </c>
      <c r="I255" s="24" t="s">
        <v>1223</v>
      </c>
      <c r="K255" s="24" t="s">
        <v>1224</v>
      </c>
      <c r="L255" s="24" t="s">
        <v>1339</v>
      </c>
      <c r="M255" s="24" t="str">
        <f t="shared" si="3"/>
        <v>XNBPBA01</v>
      </c>
    </row>
    <row r="256" spans="1:13" ht="13.2">
      <c r="A256" s="24" t="s">
        <v>1489</v>
      </c>
      <c r="B256" s="24" t="s">
        <v>1467</v>
      </c>
      <c r="C256" s="24">
        <v>0.5</v>
      </c>
      <c r="D256" s="24">
        <v>1265</v>
      </c>
      <c r="E256" s="24">
        <v>2520</v>
      </c>
      <c r="F256" s="30" t="s">
        <v>1221</v>
      </c>
      <c r="G256" s="24" t="s">
        <v>1296</v>
      </c>
      <c r="H256" s="24" t="s">
        <v>1109</v>
      </c>
      <c r="I256" s="24" t="s">
        <v>1230</v>
      </c>
      <c r="K256" s="24" t="s">
        <v>1224</v>
      </c>
      <c r="L256" s="24" t="s">
        <v>1225</v>
      </c>
      <c r="M256" s="24" t="str">
        <f t="shared" si="3"/>
        <v>XNBRM101</v>
      </c>
    </row>
    <row r="257" spans="1:13" ht="13.2">
      <c r="A257" s="24" t="s">
        <v>1490</v>
      </c>
      <c r="B257" s="24" t="s">
        <v>1467</v>
      </c>
      <c r="C257" s="24">
        <v>0.5</v>
      </c>
      <c r="D257" s="24">
        <v>1265</v>
      </c>
      <c r="E257" s="24">
        <v>2520</v>
      </c>
      <c r="F257" s="30" t="s">
        <v>1221</v>
      </c>
      <c r="G257" s="24" t="s">
        <v>1296</v>
      </c>
      <c r="H257" s="24" t="s">
        <v>1109</v>
      </c>
      <c r="I257" s="24" t="s">
        <v>1230</v>
      </c>
      <c r="K257" s="24" t="s">
        <v>1224</v>
      </c>
      <c r="L257" s="24" t="s">
        <v>1225</v>
      </c>
      <c r="M257" s="24" t="str">
        <f t="shared" si="3"/>
        <v>XNBRM101</v>
      </c>
    </row>
    <row r="258" spans="1:13" ht="13.2">
      <c r="A258" s="24" t="s">
        <v>1491</v>
      </c>
      <c r="B258" s="24" t="s">
        <v>1467</v>
      </c>
      <c r="C258" s="24">
        <v>0.5</v>
      </c>
      <c r="D258" s="24">
        <v>1265</v>
      </c>
      <c r="E258" s="24">
        <v>2520</v>
      </c>
      <c r="F258" s="30" t="s">
        <v>1221</v>
      </c>
      <c r="G258" s="24" t="s">
        <v>1296</v>
      </c>
      <c r="H258" s="24" t="s">
        <v>1109</v>
      </c>
      <c r="I258" s="24" t="s">
        <v>1297</v>
      </c>
      <c r="K258" s="24" t="s">
        <v>1224</v>
      </c>
      <c r="L258" s="24" t="s">
        <v>1225</v>
      </c>
      <c r="M258" s="24" t="str">
        <f t="shared" ref="M258:M321" si="4">RIGHT(A258,8)</f>
        <v>XNBRW101</v>
      </c>
    </row>
    <row r="259" spans="1:13" ht="13.2">
      <c r="A259" s="24" t="s">
        <v>259</v>
      </c>
      <c r="B259" s="24" t="s">
        <v>1467</v>
      </c>
      <c r="C259" s="24">
        <v>0.5</v>
      </c>
      <c r="D259" s="24">
        <v>1265</v>
      </c>
      <c r="E259" s="24">
        <v>2520</v>
      </c>
      <c r="F259" s="30" t="s">
        <v>1221</v>
      </c>
      <c r="G259" s="24" t="s">
        <v>1296</v>
      </c>
      <c r="H259" s="24" t="s">
        <v>1109</v>
      </c>
      <c r="I259" s="24" t="s">
        <v>1297</v>
      </c>
      <c r="K259" s="24" t="s">
        <v>1224</v>
      </c>
      <c r="L259" s="24" t="s">
        <v>1225</v>
      </c>
      <c r="M259" s="24" t="str">
        <f t="shared" si="4"/>
        <v>XNBRW101</v>
      </c>
    </row>
    <row r="260" spans="1:13" ht="13.2">
      <c r="A260" s="24" t="s">
        <v>1492</v>
      </c>
      <c r="B260" s="24" t="s">
        <v>1467</v>
      </c>
      <c r="C260" s="24">
        <v>0.5</v>
      </c>
      <c r="D260" s="24">
        <v>1265</v>
      </c>
      <c r="E260" s="24">
        <v>1900</v>
      </c>
      <c r="F260" s="30" t="s">
        <v>1221</v>
      </c>
      <c r="G260" s="24" t="s">
        <v>1296</v>
      </c>
      <c r="H260" s="24" t="s">
        <v>1244</v>
      </c>
      <c r="I260" s="24" t="s">
        <v>1230</v>
      </c>
      <c r="K260" s="24" t="s">
        <v>1224</v>
      </c>
      <c r="L260" s="24" t="s">
        <v>1225</v>
      </c>
      <c r="M260" s="24" t="str">
        <f t="shared" si="4"/>
        <v>XNBRM203</v>
      </c>
    </row>
    <row r="261" spans="1:13" ht="13.2">
      <c r="A261" s="24" t="s">
        <v>1493</v>
      </c>
      <c r="B261" s="24" t="s">
        <v>1467</v>
      </c>
      <c r="C261" s="24">
        <v>0.5</v>
      </c>
      <c r="D261" s="24">
        <v>1265</v>
      </c>
      <c r="E261" s="24">
        <v>1900</v>
      </c>
      <c r="F261" s="30" t="s">
        <v>1221</v>
      </c>
      <c r="G261" s="24" t="s">
        <v>1296</v>
      </c>
      <c r="H261" s="24" t="s">
        <v>1244</v>
      </c>
      <c r="I261" s="24" t="s">
        <v>1230</v>
      </c>
      <c r="K261" s="24" t="s">
        <v>1224</v>
      </c>
      <c r="L261" s="24" t="s">
        <v>1225</v>
      </c>
      <c r="M261" s="24" t="str">
        <f t="shared" si="4"/>
        <v>XNBRM203</v>
      </c>
    </row>
    <row r="262" spans="1:13" ht="13.2">
      <c r="A262" s="24" t="s">
        <v>1494</v>
      </c>
      <c r="B262" s="24" t="s">
        <v>1467</v>
      </c>
      <c r="C262" s="24">
        <v>0.5</v>
      </c>
      <c r="D262" s="24">
        <v>1265</v>
      </c>
      <c r="E262" s="24">
        <v>2200</v>
      </c>
      <c r="F262" s="30" t="s">
        <v>1221</v>
      </c>
      <c r="G262" s="24" t="s">
        <v>1296</v>
      </c>
      <c r="H262" s="24" t="s">
        <v>1244</v>
      </c>
      <c r="I262" s="24" t="s">
        <v>1230</v>
      </c>
      <c r="K262" s="24" t="s">
        <v>1224</v>
      </c>
      <c r="L262" s="24" t="s">
        <v>1225</v>
      </c>
      <c r="M262" s="24" t="str">
        <f t="shared" si="4"/>
        <v>XNBRM201</v>
      </c>
    </row>
    <row r="263" spans="1:13" ht="13.2">
      <c r="A263" s="24" t="s">
        <v>1495</v>
      </c>
      <c r="B263" s="24" t="s">
        <v>1467</v>
      </c>
      <c r="C263" s="24">
        <v>0.5</v>
      </c>
      <c r="D263" s="24">
        <v>1265</v>
      </c>
      <c r="E263" s="24">
        <v>2200</v>
      </c>
      <c r="F263" s="30" t="s">
        <v>1221</v>
      </c>
      <c r="G263" s="24" t="s">
        <v>1296</v>
      </c>
      <c r="H263" s="24" t="s">
        <v>1244</v>
      </c>
      <c r="I263" s="24" t="s">
        <v>1230</v>
      </c>
      <c r="K263" s="24" t="s">
        <v>1224</v>
      </c>
      <c r="L263" s="24" t="s">
        <v>1225</v>
      </c>
      <c r="M263" s="24" t="str">
        <f t="shared" si="4"/>
        <v>XNBRM201</v>
      </c>
    </row>
    <row r="264" spans="1:13" ht="13.2">
      <c r="A264" s="24" t="s">
        <v>1496</v>
      </c>
      <c r="B264" s="24" t="s">
        <v>1467</v>
      </c>
      <c r="C264" s="24">
        <v>0.5</v>
      </c>
      <c r="D264" s="24">
        <v>1100</v>
      </c>
      <c r="E264" s="24">
        <v>2520</v>
      </c>
      <c r="F264" s="30" t="s">
        <v>1252</v>
      </c>
      <c r="G264" s="24" t="s">
        <v>1296</v>
      </c>
      <c r="H264" s="24" t="s">
        <v>49</v>
      </c>
      <c r="I264" s="24" t="s">
        <v>1223</v>
      </c>
      <c r="K264" s="24" t="s">
        <v>1224</v>
      </c>
      <c r="L264" s="24" t="s">
        <v>1339</v>
      </c>
      <c r="M264" s="24" t="str">
        <f t="shared" si="4"/>
        <v>XNBRBA12</v>
      </c>
    </row>
    <row r="265" spans="1:13" ht="13.2">
      <c r="A265" s="24" t="s">
        <v>1497</v>
      </c>
      <c r="B265" s="24" t="s">
        <v>1467</v>
      </c>
      <c r="C265" s="24">
        <v>0.5</v>
      </c>
      <c r="D265" s="24">
        <v>1100</v>
      </c>
      <c r="E265" s="24">
        <v>2520</v>
      </c>
      <c r="F265" s="30" t="s">
        <v>1252</v>
      </c>
      <c r="G265" s="24" t="s">
        <v>1296</v>
      </c>
      <c r="H265" s="24" t="s">
        <v>49</v>
      </c>
      <c r="I265" s="24" t="s">
        <v>1223</v>
      </c>
      <c r="K265" s="24" t="s">
        <v>1224</v>
      </c>
      <c r="L265" s="24" t="s">
        <v>1339</v>
      </c>
      <c r="M265" s="24" t="str">
        <f t="shared" si="4"/>
        <v>XNBRBA12</v>
      </c>
    </row>
    <row r="266" spans="1:13" ht="13.2">
      <c r="A266" s="24" t="s">
        <v>1498</v>
      </c>
      <c r="B266" s="24" t="s">
        <v>1467</v>
      </c>
      <c r="C266" s="24">
        <v>0.5</v>
      </c>
      <c r="D266" s="24">
        <v>1265</v>
      </c>
      <c r="E266" s="24">
        <v>2520</v>
      </c>
      <c r="F266" s="30" t="s">
        <v>1252</v>
      </c>
      <c r="G266" s="24" t="s">
        <v>1296</v>
      </c>
      <c r="H266" s="24" t="s">
        <v>49</v>
      </c>
      <c r="I266" s="24" t="s">
        <v>1297</v>
      </c>
      <c r="K266" s="24" t="s">
        <v>1224</v>
      </c>
      <c r="L266" s="24" t="s">
        <v>1225</v>
      </c>
      <c r="M266" s="24" t="str">
        <f t="shared" si="4"/>
        <v>XNBRWA02</v>
      </c>
    </row>
    <row r="267" spans="1:13" ht="13.2">
      <c r="A267" s="24" t="s">
        <v>257</v>
      </c>
      <c r="B267" s="24" t="s">
        <v>1467</v>
      </c>
      <c r="C267" s="24">
        <v>0.5</v>
      </c>
      <c r="D267" s="24">
        <v>1265</v>
      </c>
      <c r="E267" s="24">
        <v>2520</v>
      </c>
      <c r="F267" s="30" t="s">
        <v>1252</v>
      </c>
      <c r="G267" s="24" t="s">
        <v>1296</v>
      </c>
      <c r="H267" s="24" t="s">
        <v>49</v>
      </c>
      <c r="I267" s="24" t="s">
        <v>1297</v>
      </c>
      <c r="K267" s="24" t="s">
        <v>1224</v>
      </c>
      <c r="L267" s="24" t="s">
        <v>1225</v>
      </c>
      <c r="M267" s="24" t="str">
        <f t="shared" si="4"/>
        <v>XNBRWA02</v>
      </c>
    </row>
    <row r="268" spans="1:13" ht="13.2">
      <c r="A268" s="24" t="s">
        <v>1499</v>
      </c>
      <c r="B268" s="24" t="s">
        <v>1467</v>
      </c>
      <c r="C268" s="24">
        <v>0.5</v>
      </c>
      <c r="D268" s="24">
        <v>1265</v>
      </c>
      <c r="E268" s="24">
        <v>3150</v>
      </c>
      <c r="F268" s="30" t="s">
        <v>1252</v>
      </c>
      <c r="G268" s="24" t="s">
        <v>1296</v>
      </c>
      <c r="H268" s="24" t="s">
        <v>49</v>
      </c>
      <c r="I268" s="24" t="s">
        <v>1297</v>
      </c>
      <c r="K268" s="24" t="s">
        <v>1224</v>
      </c>
      <c r="L268" s="24" t="s">
        <v>1225</v>
      </c>
      <c r="M268" s="24" t="str">
        <f t="shared" si="4"/>
        <v>XNBRWA03</v>
      </c>
    </row>
    <row r="269" spans="1:13" ht="13.2">
      <c r="A269" s="24" t="s">
        <v>1500</v>
      </c>
      <c r="B269" s="24" t="s">
        <v>1467</v>
      </c>
      <c r="C269" s="24">
        <v>0.5</v>
      </c>
      <c r="D269" s="24">
        <v>1265</v>
      </c>
      <c r="E269" s="24">
        <v>3150</v>
      </c>
      <c r="F269" s="30" t="s">
        <v>1252</v>
      </c>
      <c r="G269" s="24" t="s">
        <v>1296</v>
      </c>
      <c r="H269" s="24" t="s">
        <v>49</v>
      </c>
      <c r="I269" s="24" t="s">
        <v>1297</v>
      </c>
      <c r="K269" s="24" t="s">
        <v>1224</v>
      </c>
      <c r="L269" s="24" t="s">
        <v>1225</v>
      </c>
      <c r="M269" s="24" t="str">
        <f t="shared" si="4"/>
        <v>XNBRWA03</v>
      </c>
    </row>
    <row r="270" spans="1:13" ht="13.2">
      <c r="A270" s="24" t="s">
        <v>1501</v>
      </c>
      <c r="B270" s="24" t="s">
        <v>1467</v>
      </c>
      <c r="C270" s="24">
        <v>0.5</v>
      </c>
      <c r="D270" s="24">
        <v>1265</v>
      </c>
      <c r="E270" s="24">
        <v>2520</v>
      </c>
      <c r="F270" s="30" t="s">
        <v>1221</v>
      </c>
      <c r="G270" s="24" t="s">
        <v>1296</v>
      </c>
      <c r="H270" s="24" t="s">
        <v>1137</v>
      </c>
      <c r="I270" s="24" t="s">
        <v>1230</v>
      </c>
      <c r="K270" s="24" t="s">
        <v>1224</v>
      </c>
      <c r="L270" s="24" t="s">
        <v>1225</v>
      </c>
      <c r="M270" s="24" t="str">
        <f t="shared" si="4"/>
        <v>XNBRMB01</v>
      </c>
    </row>
    <row r="271" spans="1:13" ht="13.2">
      <c r="A271" s="24" t="s">
        <v>1502</v>
      </c>
      <c r="B271" s="24" t="s">
        <v>1467</v>
      </c>
      <c r="C271" s="24">
        <v>0.5</v>
      </c>
      <c r="D271" s="24">
        <v>1265</v>
      </c>
      <c r="E271" s="24">
        <v>2520</v>
      </c>
      <c r="F271" s="30" t="s">
        <v>1252</v>
      </c>
      <c r="G271" s="24" t="s">
        <v>1296</v>
      </c>
      <c r="H271" s="24" t="s">
        <v>1137</v>
      </c>
      <c r="I271" s="24" t="s">
        <v>1230</v>
      </c>
      <c r="K271" s="24" t="s">
        <v>1224</v>
      </c>
      <c r="L271" s="24" t="s">
        <v>1225</v>
      </c>
      <c r="M271" s="24" t="str">
        <f t="shared" si="4"/>
        <v>XNBRMB02</v>
      </c>
    </row>
    <row r="272" spans="1:13" ht="13.2">
      <c r="A272" s="24" t="s">
        <v>1503</v>
      </c>
      <c r="B272" s="24" t="s">
        <v>1467</v>
      </c>
      <c r="C272" s="24">
        <v>0.5</v>
      </c>
      <c r="D272" s="24">
        <v>1265</v>
      </c>
      <c r="E272" s="24">
        <v>2520</v>
      </c>
      <c r="F272" s="30" t="s">
        <v>1221</v>
      </c>
      <c r="G272" s="24" t="s">
        <v>1296</v>
      </c>
      <c r="H272" s="24" t="s">
        <v>1137</v>
      </c>
      <c r="I272" s="24" t="s">
        <v>1230</v>
      </c>
      <c r="K272" s="24" t="s">
        <v>1224</v>
      </c>
      <c r="L272" s="24" t="s">
        <v>1225</v>
      </c>
      <c r="M272" s="24" t="str">
        <f t="shared" si="4"/>
        <v>XNBRMB01</v>
      </c>
    </row>
    <row r="273" spans="1:13" ht="13.2">
      <c r="A273" s="24" t="s">
        <v>1504</v>
      </c>
      <c r="B273" s="24" t="s">
        <v>1467</v>
      </c>
      <c r="C273" s="24">
        <v>0.5</v>
      </c>
      <c r="D273" s="24">
        <v>1265</v>
      </c>
      <c r="E273" s="24">
        <v>2520</v>
      </c>
      <c r="F273" s="30" t="s">
        <v>1252</v>
      </c>
      <c r="G273" s="24" t="s">
        <v>1296</v>
      </c>
      <c r="H273" s="24" t="s">
        <v>1137</v>
      </c>
      <c r="I273" s="24" t="s">
        <v>1230</v>
      </c>
      <c r="K273" s="24" t="s">
        <v>1224</v>
      </c>
      <c r="L273" s="24" t="s">
        <v>1225</v>
      </c>
      <c r="M273" s="24" t="str">
        <f t="shared" si="4"/>
        <v>XNBRMB02</v>
      </c>
    </row>
    <row r="274" spans="1:13" ht="13.2">
      <c r="A274" s="24" t="s">
        <v>1505</v>
      </c>
      <c r="B274" s="24" t="s">
        <v>1467</v>
      </c>
      <c r="C274" s="24">
        <v>0.5</v>
      </c>
      <c r="D274" s="24">
        <v>1265</v>
      </c>
      <c r="E274" s="24">
        <v>2520</v>
      </c>
      <c r="F274" s="30" t="s">
        <v>1252</v>
      </c>
      <c r="G274" s="24" t="s">
        <v>1296</v>
      </c>
      <c r="H274" s="24" t="s">
        <v>1137</v>
      </c>
      <c r="I274" s="24" t="s">
        <v>1237</v>
      </c>
      <c r="K274" s="24" t="s">
        <v>1224</v>
      </c>
      <c r="L274" s="24" t="s">
        <v>1225</v>
      </c>
      <c r="M274" s="24" t="str">
        <f t="shared" si="4"/>
        <v>XNBRPB01</v>
      </c>
    </row>
    <row r="275" spans="1:13" ht="13.2">
      <c r="A275" s="24" t="s">
        <v>1506</v>
      </c>
      <c r="B275" s="24" t="s">
        <v>1467</v>
      </c>
      <c r="C275" s="24">
        <v>0.5</v>
      </c>
      <c r="D275" s="24">
        <v>1265</v>
      </c>
      <c r="E275" s="24">
        <v>2520</v>
      </c>
      <c r="F275" s="30" t="s">
        <v>1252</v>
      </c>
      <c r="G275" s="24" t="s">
        <v>1296</v>
      </c>
      <c r="H275" s="24" t="s">
        <v>1137</v>
      </c>
      <c r="I275" s="24" t="s">
        <v>1237</v>
      </c>
      <c r="K275" s="24" t="s">
        <v>1224</v>
      </c>
      <c r="L275" s="24" t="s">
        <v>1225</v>
      </c>
      <c r="M275" s="24" t="str">
        <f t="shared" si="4"/>
        <v>XNBRPB01</v>
      </c>
    </row>
    <row r="276" spans="1:13" ht="13.2">
      <c r="A276" s="24" t="s">
        <v>1507</v>
      </c>
      <c r="B276" s="24" t="s">
        <v>1467</v>
      </c>
      <c r="C276" s="24">
        <v>0.5</v>
      </c>
      <c r="D276" s="24">
        <v>1265</v>
      </c>
      <c r="E276" s="24">
        <v>2520</v>
      </c>
      <c r="F276" s="30" t="s">
        <v>1252</v>
      </c>
      <c r="G276" s="24" t="s">
        <v>1296</v>
      </c>
      <c r="H276" s="24" t="s">
        <v>1137</v>
      </c>
      <c r="I276" s="24" t="s">
        <v>1232</v>
      </c>
      <c r="K276" s="24" t="s">
        <v>1224</v>
      </c>
      <c r="L276" s="24" t="s">
        <v>1225</v>
      </c>
      <c r="M276" s="24" t="str">
        <f t="shared" si="4"/>
        <v>XNBRSB01</v>
      </c>
    </row>
    <row r="277" spans="1:13" ht="13.2">
      <c r="A277" s="24" t="s">
        <v>1508</v>
      </c>
      <c r="B277" s="24" t="s">
        <v>1467</v>
      </c>
      <c r="C277" s="24">
        <v>0.5</v>
      </c>
      <c r="D277" s="24">
        <v>1265</v>
      </c>
      <c r="E277" s="24">
        <v>2520</v>
      </c>
      <c r="F277" s="30" t="s">
        <v>1252</v>
      </c>
      <c r="G277" s="24" t="s">
        <v>1296</v>
      </c>
      <c r="H277" s="24" t="s">
        <v>1137</v>
      </c>
      <c r="I277" s="24" t="s">
        <v>1232</v>
      </c>
      <c r="K277" s="24" t="s">
        <v>1224</v>
      </c>
      <c r="L277" s="24" t="s">
        <v>1225</v>
      </c>
      <c r="M277" s="24" t="str">
        <f t="shared" si="4"/>
        <v>XNBRSB01</v>
      </c>
    </row>
    <row r="278" spans="1:13" ht="13.2">
      <c r="A278" s="24" t="s">
        <v>1509</v>
      </c>
      <c r="B278" s="24" t="s">
        <v>1467</v>
      </c>
      <c r="C278" s="24">
        <v>0.5</v>
      </c>
      <c r="D278" s="24">
        <v>1265</v>
      </c>
      <c r="E278" s="24">
        <v>2520</v>
      </c>
      <c r="F278" s="30" t="s">
        <v>1252</v>
      </c>
      <c r="G278" s="24" t="s">
        <v>1296</v>
      </c>
      <c r="H278" s="24" t="s">
        <v>1278</v>
      </c>
      <c r="I278" s="24" t="s">
        <v>1297</v>
      </c>
      <c r="K278" s="24" t="s">
        <v>1224</v>
      </c>
      <c r="L278" s="24" t="s">
        <v>1225</v>
      </c>
      <c r="M278" s="24" t="str">
        <f t="shared" si="4"/>
        <v>XNBRWC02</v>
      </c>
    </row>
    <row r="279" spans="1:13" ht="13.2">
      <c r="A279" s="24" t="s">
        <v>1510</v>
      </c>
      <c r="B279" s="24" t="s">
        <v>1467</v>
      </c>
      <c r="C279" s="24">
        <v>0.5</v>
      </c>
      <c r="D279" s="24">
        <v>1265</v>
      </c>
      <c r="E279" s="24">
        <v>2520</v>
      </c>
      <c r="F279" s="30" t="s">
        <v>1252</v>
      </c>
      <c r="G279" s="24" t="s">
        <v>1296</v>
      </c>
      <c r="H279" s="24" t="s">
        <v>1278</v>
      </c>
      <c r="I279" s="24" t="s">
        <v>1297</v>
      </c>
      <c r="K279" s="24" t="s">
        <v>1224</v>
      </c>
      <c r="L279" s="24" t="s">
        <v>1225</v>
      </c>
      <c r="M279" s="24" t="str">
        <f t="shared" si="4"/>
        <v>XNBRWC02</v>
      </c>
    </row>
    <row r="280" spans="1:13" ht="13.2">
      <c r="A280" s="24" t="s">
        <v>1511</v>
      </c>
      <c r="B280" s="24" t="s">
        <v>1467</v>
      </c>
      <c r="C280" s="24">
        <v>0.5</v>
      </c>
      <c r="D280" s="24">
        <v>1265</v>
      </c>
      <c r="E280" s="24">
        <v>2520</v>
      </c>
      <c r="F280" s="30" t="s">
        <v>1252</v>
      </c>
      <c r="G280" s="24" t="s">
        <v>1296</v>
      </c>
      <c r="H280" s="24" t="s">
        <v>1302</v>
      </c>
      <c r="I280" s="24" t="s">
        <v>1297</v>
      </c>
      <c r="K280" s="24" t="s">
        <v>1224</v>
      </c>
      <c r="L280" s="24" t="s">
        <v>1225</v>
      </c>
      <c r="M280" s="24" t="str">
        <f t="shared" si="4"/>
        <v>XNBRWD02</v>
      </c>
    </row>
    <row r="281" spans="1:13" ht="13.2">
      <c r="A281" s="24" t="s">
        <v>1512</v>
      </c>
      <c r="B281" s="24" t="s">
        <v>1467</v>
      </c>
      <c r="C281" s="24">
        <v>0.5</v>
      </c>
      <c r="D281" s="24">
        <v>1265</v>
      </c>
      <c r="E281" s="24">
        <v>2520</v>
      </c>
      <c r="F281" s="30" t="s">
        <v>1252</v>
      </c>
      <c r="G281" s="24" t="s">
        <v>1296</v>
      </c>
      <c r="H281" s="24" t="s">
        <v>1302</v>
      </c>
      <c r="I281" s="24" t="s">
        <v>1297</v>
      </c>
      <c r="K281" s="24" t="s">
        <v>1224</v>
      </c>
      <c r="L281" s="24" t="s">
        <v>1225</v>
      </c>
      <c r="M281" s="24" t="str">
        <f t="shared" si="4"/>
        <v>XNBRWD02</v>
      </c>
    </row>
    <row r="282" spans="1:13" ht="13.2">
      <c r="A282" s="24" t="s">
        <v>1513</v>
      </c>
      <c r="B282" s="24" t="s">
        <v>1467</v>
      </c>
      <c r="C282" s="24">
        <v>0.5</v>
      </c>
      <c r="D282" s="24">
        <v>965</v>
      </c>
      <c r="E282" s="24">
        <v>2200</v>
      </c>
      <c r="F282" s="30" t="s">
        <v>1252</v>
      </c>
      <c r="G282" s="24" t="s">
        <v>1296</v>
      </c>
      <c r="H282" s="24" t="s">
        <v>1380</v>
      </c>
      <c r="I282" s="24" t="s">
        <v>1223</v>
      </c>
      <c r="K282" s="24" t="s">
        <v>1224</v>
      </c>
      <c r="L282" s="24" t="s">
        <v>1339</v>
      </c>
      <c r="M282" s="24" t="str">
        <f t="shared" si="4"/>
        <v>XNBRBA03</v>
      </c>
    </row>
    <row r="283" spans="1:13" ht="13.2">
      <c r="A283" s="24" t="s">
        <v>773</v>
      </c>
      <c r="B283" s="24" t="s">
        <v>1467</v>
      </c>
      <c r="C283" s="24">
        <v>0.5</v>
      </c>
      <c r="D283" s="24">
        <v>965</v>
      </c>
      <c r="E283" s="24">
        <v>2200</v>
      </c>
      <c r="F283" s="30" t="s">
        <v>1252</v>
      </c>
      <c r="G283" s="24" t="s">
        <v>1296</v>
      </c>
      <c r="H283" s="24" t="s">
        <v>1380</v>
      </c>
      <c r="I283" s="24" t="s">
        <v>1223</v>
      </c>
      <c r="K283" s="24" t="s">
        <v>1224</v>
      </c>
      <c r="L283" s="24" t="s">
        <v>1339</v>
      </c>
      <c r="M283" s="24" t="str">
        <f t="shared" si="4"/>
        <v>XNBRBA03</v>
      </c>
    </row>
    <row r="284" spans="1:13" ht="13.2">
      <c r="A284" s="24" t="s">
        <v>1514</v>
      </c>
      <c r="B284" s="24" t="s">
        <v>1467</v>
      </c>
      <c r="C284" s="24">
        <v>0.5</v>
      </c>
      <c r="D284" s="24">
        <v>965</v>
      </c>
      <c r="E284" s="24">
        <v>2250</v>
      </c>
      <c r="F284" s="30" t="s">
        <v>1252</v>
      </c>
      <c r="G284" s="24" t="s">
        <v>1296</v>
      </c>
      <c r="H284" s="24" t="s">
        <v>1380</v>
      </c>
      <c r="I284" s="24" t="s">
        <v>1223</v>
      </c>
      <c r="K284" s="24" t="s">
        <v>1224</v>
      </c>
      <c r="L284" s="24" t="s">
        <v>1339</v>
      </c>
      <c r="M284" s="24" t="str">
        <f t="shared" si="4"/>
        <v>XNBRBA02</v>
      </c>
    </row>
    <row r="285" spans="1:13" ht="13.2">
      <c r="A285" s="24" t="s">
        <v>1515</v>
      </c>
      <c r="B285" s="24" t="s">
        <v>1467</v>
      </c>
      <c r="C285" s="24">
        <v>0.5</v>
      </c>
      <c r="D285" s="24">
        <v>1265</v>
      </c>
      <c r="E285" s="24">
        <v>2250</v>
      </c>
      <c r="F285" s="30" t="s">
        <v>1252</v>
      </c>
      <c r="G285" s="24" t="s">
        <v>1296</v>
      </c>
      <c r="H285" s="24" t="s">
        <v>1380</v>
      </c>
      <c r="I285" s="24" t="s">
        <v>1223</v>
      </c>
      <c r="K285" s="24" t="s">
        <v>1224</v>
      </c>
      <c r="L285" s="24" t="s">
        <v>1339</v>
      </c>
      <c r="M285" s="24" t="str">
        <f t="shared" si="4"/>
        <v>XNBRBA05</v>
      </c>
    </row>
    <row r="286" spans="1:13" ht="13.2">
      <c r="A286" s="24" t="s">
        <v>776</v>
      </c>
      <c r="B286" s="24" t="s">
        <v>1467</v>
      </c>
      <c r="C286" s="24">
        <v>0.5</v>
      </c>
      <c r="D286" s="24">
        <v>965</v>
      </c>
      <c r="E286" s="24">
        <v>2250</v>
      </c>
      <c r="F286" s="30" t="s">
        <v>1252</v>
      </c>
      <c r="G286" s="24" t="s">
        <v>1296</v>
      </c>
      <c r="H286" s="24" t="s">
        <v>1380</v>
      </c>
      <c r="I286" s="24" t="s">
        <v>1223</v>
      </c>
      <c r="K286" s="24" t="s">
        <v>1224</v>
      </c>
      <c r="L286" s="24" t="s">
        <v>1339</v>
      </c>
      <c r="M286" s="24" t="str">
        <f t="shared" si="4"/>
        <v>XNBRBA02</v>
      </c>
    </row>
    <row r="287" spans="1:13" ht="13.2">
      <c r="A287" s="24" t="s">
        <v>786</v>
      </c>
      <c r="B287" s="24" t="s">
        <v>1467</v>
      </c>
      <c r="C287" s="24">
        <v>0.5</v>
      </c>
      <c r="D287" s="24">
        <v>1265</v>
      </c>
      <c r="E287" s="24">
        <v>2250</v>
      </c>
      <c r="F287" s="30" t="s">
        <v>1252</v>
      </c>
      <c r="G287" s="24" t="s">
        <v>1296</v>
      </c>
      <c r="H287" s="24" t="s">
        <v>1380</v>
      </c>
      <c r="I287" s="24" t="s">
        <v>1223</v>
      </c>
      <c r="K287" s="24" t="s">
        <v>1224</v>
      </c>
      <c r="L287" s="24" t="s">
        <v>1339</v>
      </c>
      <c r="M287" s="24" t="str">
        <f t="shared" si="4"/>
        <v>XNBRBA05</v>
      </c>
    </row>
    <row r="288" spans="1:13" ht="13.2">
      <c r="A288" s="24" t="s">
        <v>1516</v>
      </c>
      <c r="B288" s="24" t="s">
        <v>1467</v>
      </c>
      <c r="C288" s="24">
        <v>0.5</v>
      </c>
      <c r="D288" s="24">
        <v>965</v>
      </c>
      <c r="E288" s="24">
        <v>2520</v>
      </c>
      <c r="F288" s="30" t="s">
        <v>1252</v>
      </c>
      <c r="G288" s="24" t="s">
        <v>1296</v>
      </c>
      <c r="H288" s="24" t="s">
        <v>1380</v>
      </c>
      <c r="I288" s="24" t="s">
        <v>1223</v>
      </c>
      <c r="K288" s="24" t="s">
        <v>1224</v>
      </c>
      <c r="L288" s="24" t="s">
        <v>1339</v>
      </c>
      <c r="M288" s="24" t="str">
        <f t="shared" si="4"/>
        <v>XNBRBA04</v>
      </c>
    </row>
    <row r="289" spans="1:13" ht="13.2">
      <c r="A289" s="24" t="s">
        <v>1517</v>
      </c>
      <c r="B289" s="24" t="s">
        <v>1467</v>
      </c>
      <c r="C289" s="24">
        <v>0.5</v>
      </c>
      <c r="D289" s="24">
        <v>1265</v>
      </c>
      <c r="E289" s="24">
        <v>2520</v>
      </c>
      <c r="F289" s="30" t="s">
        <v>1252</v>
      </c>
      <c r="G289" s="24" t="s">
        <v>1296</v>
      </c>
      <c r="H289" s="24" t="s">
        <v>1380</v>
      </c>
      <c r="I289" s="24" t="s">
        <v>1223</v>
      </c>
      <c r="K289" s="24" t="s">
        <v>1224</v>
      </c>
      <c r="L289" s="24" t="s">
        <v>1339</v>
      </c>
      <c r="M289" s="24" t="str">
        <f t="shared" si="4"/>
        <v>XNBRBA07</v>
      </c>
    </row>
    <row r="290" spans="1:13" ht="13.2">
      <c r="A290" s="24" t="s">
        <v>779</v>
      </c>
      <c r="B290" s="24" t="s">
        <v>1467</v>
      </c>
      <c r="C290" s="24">
        <v>0.5</v>
      </c>
      <c r="D290" s="24">
        <v>965</v>
      </c>
      <c r="E290" s="24">
        <v>2520</v>
      </c>
      <c r="F290" s="30" t="s">
        <v>1252</v>
      </c>
      <c r="G290" s="24" t="s">
        <v>1296</v>
      </c>
      <c r="H290" s="24" t="s">
        <v>1380</v>
      </c>
      <c r="I290" s="24" t="s">
        <v>1223</v>
      </c>
      <c r="K290" s="24" t="s">
        <v>1224</v>
      </c>
      <c r="L290" s="24" t="s">
        <v>1339</v>
      </c>
      <c r="M290" s="24" t="str">
        <f t="shared" si="4"/>
        <v>XNBRBA04</v>
      </c>
    </row>
    <row r="291" spans="1:13" ht="13.2">
      <c r="A291" s="24" t="s">
        <v>789</v>
      </c>
      <c r="B291" s="24" t="s">
        <v>1467</v>
      </c>
      <c r="C291" s="24">
        <v>0.5</v>
      </c>
      <c r="D291" s="24">
        <v>1265</v>
      </c>
      <c r="E291" s="24">
        <v>2520</v>
      </c>
      <c r="F291" s="30" t="s">
        <v>1252</v>
      </c>
      <c r="G291" s="24" t="s">
        <v>1296</v>
      </c>
      <c r="H291" s="24" t="s">
        <v>1380</v>
      </c>
      <c r="I291" s="24" t="s">
        <v>1223</v>
      </c>
      <c r="K291" s="24" t="s">
        <v>1224</v>
      </c>
      <c r="L291" s="24" t="s">
        <v>1339</v>
      </c>
      <c r="M291" s="24" t="str">
        <f t="shared" si="4"/>
        <v>XNBRBA07</v>
      </c>
    </row>
    <row r="292" spans="1:13" ht="13.2">
      <c r="A292" s="24" t="s">
        <v>1518</v>
      </c>
      <c r="B292" s="24" t="s">
        <v>1467</v>
      </c>
      <c r="C292" s="24">
        <v>0.5</v>
      </c>
      <c r="D292" s="24">
        <v>1265</v>
      </c>
      <c r="E292" s="24">
        <v>2800</v>
      </c>
      <c r="F292" s="30" t="s">
        <v>1252</v>
      </c>
      <c r="G292" s="24" t="s">
        <v>1296</v>
      </c>
      <c r="H292" s="24" t="s">
        <v>1385</v>
      </c>
      <c r="I292" s="24" t="s">
        <v>1223</v>
      </c>
      <c r="K292" s="24" t="s">
        <v>1224</v>
      </c>
      <c r="L292" s="24" t="s">
        <v>1339</v>
      </c>
      <c r="M292" s="24" t="str">
        <f t="shared" si="4"/>
        <v>XNBRBA01</v>
      </c>
    </row>
    <row r="293" spans="1:13" ht="13.2">
      <c r="A293" s="24" t="s">
        <v>1519</v>
      </c>
      <c r="B293" s="24" t="s">
        <v>1467</v>
      </c>
      <c r="C293" s="24">
        <v>0.5</v>
      </c>
      <c r="D293" s="24">
        <v>965</v>
      </c>
      <c r="E293" s="24">
        <v>2800</v>
      </c>
      <c r="F293" s="30" t="s">
        <v>1252</v>
      </c>
      <c r="G293" s="24" t="s">
        <v>1296</v>
      </c>
      <c r="H293" s="24" t="s">
        <v>1380</v>
      </c>
      <c r="I293" s="24" t="s">
        <v>1223</v>
      </c>
      <c r="K293" s="24" t="s">
        <v>1224</v>
      </c>
      <c r="L293" s="24" t="s">
        <v>1339</v>
      </c>
      <c r="M293" s="24" t="str">
        <f t="shared" si="4"/>
        <v>XNBRBA06</v>
      </c>
    </row>
    <row r="294" spans="1:13" ht="13.2">
      <c r="A294" s="24" t="s">
        <v>1520</v>
      </c>
      <c r="B294" s="24" t="s">
        <v>1467</v>
      </c>
      <c r="C294" s="24">
        <v>0.5</v>
      </c>
      <c r="D294" s="24">
        <v>930</v>
      </c>
      <c r="E294" s="24">
        <v>2800</v>
      </c>
      <c r="F294" s="30" t="s">
        <v>1252</v>
      </c>
      <c r="G294" s="24" t="s">
        <v>1296</v>
      </c>
      <c r="H294" s="24" t="s">
        <v>1385</v>
      </c>
      <c r="I294" s="24" t="s">
        <v>1223</v>
      </c>
      <c r="K294" s="24" t="s">
        <v>1224</v>
      </c>
      <c r="L294" s="24" t="s">
        <v>1339</v>
      </c>
      <c r="M294" s="24" t="str">
        <f t="shared" si="4"/>
        <v>XNBRBA51</v>
      </c>
    </row>
    <row r="295" spans="1:13" ht="13.2">
      <c r="A295" s="24" t="s">
        <v>793</v>
      </c>
      <c r="B295" s="24" t="s">
        <v>1467</v>
      </c>
      <c r="C295" s="24">
        <v>0.5</v>
      </c>
      <c r="D295" s="24">
        <v>1265</v>
      </c>
      <c r="E295" s="24">
        <v>2800</v>
      </c>
      <c r="F295" s="30" t="s">
        <v>1252</v>
      </c>
      <c r="G295" s="24" t="s">
        <v>1296</v>
      </c>
      <c r="H295" s="24" t="s">
        <v>1385</v>
      </c>
      <c r="I295" s="24" t="s">
        <v>1223</v>
      </c>
      <c r="K295" s="24" t="s">
        <v>1224</v>
      </c>
      <c r="L295" s="24" t="s">
        <v>1339</v>
      </c>
      <c r="M295" s="24" t="str">
        <f t="shared" si="4"/>
        <v>XNBRBA01</v>
      </c>
    </row>
    <row r="296" spans="1:13" ht="13.2">
      <c r="A296" s="24" t="s">
        <v>1521</v>
      </c>
      <c r="B296" s="24" t="s">
        <v>1467</v>
      </c>
      <c r="C296" s="24">
        <v>0.5</v>
      </c>
      <c r="D296" s="24">
        <v>965</v>
      </c>
      <c r="E296" s="24">
        <v>2800</v>
      </c>
      <c r="F296" s="30" t="s">
        <v>1252</v>
      </c>
      <c r="G296" s="24" t="s">
        <v>1296</v>
      </c>
      <c r="H296" s="24" t="s">
        <v>1380</v>
      </c>
      <c r="I296" s="24" t="s">
        <v>1223</v>
      </c>
      <c r="K296" s="24" t="s">
        <v>1224</v>
      </c>
      <c r="L296" s="24" t="s">
        <v>1339</v>
      </c>
      <c r="M296" s="24" t="str">
        <f t="shared" si="4"/>
        <v>XNBRBA06</v>
      </c>
    </row>
    <row r="297" spans="1:13" ht="13.2">
      <c r="A297" s="24" t="s">
        <v>782</v>
      </c>
      <c r="B297" s="24" t="s">
        <v>1467</v>
      </c>
      <c r="C297" s="24">
        <v>0.5</v>
      </c>
      <c r="D297" s="24">
        <v>930</v>
      </c>
      <c r="E297" s="24">
        <v>2800</v>
      </c>
      <c r="F297" s="30" t="s">
        <v>1252</v>
      </c>
      <c r="G297" s="24" t="s">
        <v>1296</v>
      </c>
      <c r="H297" s="24" t="s">
        <v>1385</v>
      </c>
      <c r="I297" s="24" t="s">
        <v>1223</v>
      </c>
      <c r="K297" s="24" t="s">
        <v>1224</v>
      </c>
      <c r="L297" s="24" t="s">
        <v>1339</v>
      </c>
      <c r="M297" s="24" t="str">
        <f t="shared" si="4"/>
        <v>XNBRBA51</v>
      </c>
    </row>
    <row r="298" spans="1:13" ht="13.2">
      <c r="A298" s="24" t="s">
        <v>1522</v>
      </c>
      <c r="B298" s="24" t="s">
        <v>1467</v>
      </c>
      <c r="C298" s="24">
        <v>0.5</v>
      </c>
      <c r="D298" s="24">
        <v>965</v>
      </c>
      <c r="E298" s="24">
        <v>2200</v>
      </c>
      <c r="F298" s="30" t="s">
        <v>1252</v>
      </c>
      <c r="G298" s="24" t="s">
        <v>1296</v>
      </c>
      <c r="H298" s="24" t="s">
        <v>1523</v>
      </c>
      <c r="I298" s="24" t="s">
        <v>1223</v>
      </c>
      <c r="K298" s="24" t="s">
        <v>1224</v>
      </c>
      <c r="L298" s="24" t="s">
        <v>1339</v>
      </c>
      <c r="M298" s="24" t="str">
        <f t="shared" si="4"/>
        <v>XNBRBA08</v>
      </c>
    </row>
    <row r="299" spans="1:13" ht="13.2">
      <c r="A299" s="24" t="s">
        <v>1524</v>
      </c>
      <c r="B299" s="24" t="s">
        <v>1467</v>
      </c>
      <c r="C299" s="24">
        <v>0.5</v>
      </c>
      <c r="D299" s="24">
        <v>965</v>
      </c>
      <c r="E299" s="24">
        <v>2200</v>
      </c>
      <c r="F299" s="30" t="s">
        <v>1252</v>
      </c>
      <c r="G299" s="24" t="s">
        <v>1296</v>
      </c>
      <c r="H299" s="24" t="s">
        <v>1523</v>
      </c>
      <c r="I299" s="24" t="s">
        <v>1223</v>
      </c>
      <c r="K299" s="24" t="s">
        <v>1224</v>
      </c>
      <c r="L299" s="24" t="s">
        <v>1339</v>
      </c>
      <c r="M299" s="24" t="str">
        <f t="shared" si="4"/>
        <v>XNBRBA08</v>
      </c>
    </row>
    <row r="300" spans="1:13" ht="13.2">
      <c r="A300" s="24" t="s">
        <v>1525</v>
      </c>
      <c r="B300" s="24" t="s">
        <v>1467</v>
      </c>
      <c r="C300" s="24">
        <v>0.5</v>
      </c>
      <c r="D300" s="24">
        <v>965</v>
      </c>
      <c r="E300" s="24">
        <v>2250</v>
      </c>
      <c r="F300" s="30" t="s">
        <v>1252</v>
      </c>
      <c r="G300" s="24" t="s">
        <v>1296</v>
      </c>
      <c r="H300" s="24" t="s">
        <v>1523</v>
      </c>
      <c r="I300" s="24" t="s">
        <v>1223</v>
      </c>
      <c r="K300" s="24" t="s">
        <v>1224</v>
      </c>
      <c r="L300" s="24" t="s">
        <v>1339</v>
      </c>
      <c r="M300" s="24" t="str">
        <f t="shared" si="4"/>
        <v>XNBRBA09</v>
      </c>
    </row>
    <row r="301" spans="1:13" ht="13.2">
      <c r="A301" s="24" t="s">
        <v>1526</v>
      </c>
      <c r="B301" s="24" t="s">
        <v>1467</v>
      </c>
      <c r="C301" s="24">
        <v>0.5</v>
      </c>
      <c r="D301" s="24">
        <v>965</v>
      </c>
      <c r="E301" s="24">
        <v>2250</v>
      </c>
      <c r="F301" s="30" t="s">
        <v>1252</v>
      </c>
      <c r="G301" s="24" t="s">
        <v>1296</v>
      </c>
      <c r="H301" s="24" t="s">
        <v>1523</v>
      </c>
      <c r="I301" s="24" t="s">
        <v>1223</v>
      </c>
      <c r="K301" s="24" t="s">
        <v>1224</v>
      </c>
      <c r="L301" s="24" t="s">
        <v>1339</v>
      </c>
      <c r="M301" s="24" t="str">
        <f t="shared" si="4"/>
        <v>XNBRBA09</v>
      </c>
    </row>
    <row r="302" spans="1:13" ht="13.2">
      <c r="A302" s="24" t="s">
        <v>1527</v>
      </c>
      <c r="B302" s="24" t="s">
        <v>1467</v>
      </c>
      <c r="C302" s="24">
        <v>0.5</v>
      </c>
      <c r="D302" s="24">
        <v>965</v>
      </c>
      <c r="E302" s="24">
        <v>2520</v>
      </c>
      <c r="F302" s="30" t="s">
        <v>1252</v>
      </c>
      <c r="G302" s="24" t="s">
        <v>1296</v>
      </c>
      <c r="H302" s="24" t="s">
        <v>1523</v>
      </c>
      <c r="I302" s="24" t="s">
        <v>1223</v>
      </c>
      <c r="K302" s="24" t="s">
        <v>1224</v>
      </c>
      <c r="L302" s="24" t="s">
        <v>1339</v>
      </c>
      <c r="M302" s="24" t="str">
        <f t="shared" si="4"/>
        <v>XNBRBA10</v>
      </c>
    </row>
    <row r="303" spans="1:13" ht="13.2">
      <c r="A303" s="24" t="s">
        <v>1528</v>
      </c>
      <c r="B303" s="24" t="s">
        <v>1467</v>
      </c>
      <c r="C303" s="24">
        <v>0.5</v>
      </c>
      <c r="D303" s="24">
        <v>965</v>
      </c>
      <c r="E303" s="24">
        <v>2520</v>
      </c>
      <c r="F303" s="30" t="s">
        <v>1252</v>
      </c>
      <c r="G303" s="24" t="s">
        <v>1296</v>
      </c>
      <c r="H303" s="24" t="s">
        <v>1523</v>
      </c>
      <c r="I303" s="24" t="s">
        <v>1223</v>
      </c>
      <c r="K303" s="24" t="s">
        <v>1224</v>
      </c>
      <c r="L303" s="24" t="s">
        <v>1339</v>
      </c>
      <c r="M303" s="24" t="str">
        <f t="shared" si="4"/>
        <v>XNBRBA10</v>
      </c>
    </row>
    <row r="304" spans="1:13" ht="13.2">
      <c r="A304" s="24" t="s">
        <v>1529</v>
      </c>
      <c r="B304" s="24" t="s">
        <v>1467</v>
      </c>
      <c r="C304" s="24">
        <v>0.5</v>
      </c>
      <c r="D304" s="24">
        <v>1265</v>
      </c>
      <c r="E304" s="24">
        <v>2200</v>
      </c>
      <c r="F304" s="30" t="s">
        <v>1221</v>
      </c>
      <c r="G304" s="24" t="s">
        <v>1296</v>
      </c>
      <c r="H304" s="24" t="s">
        <v>1485</v>
      </c>
      <c r="I304" s="24" t="s">
        <v>1230</v>
      </c>
      <c r="K304" s="24" t="s">
        <v>1224</v>
      </c>
      <c r="L304" s="24" t="s">
        <v>1225</v>
      </c>
      <c r="M304" s="24" t="str">
        <f t="shared" si="4"/>
        <v>XNBRMB03</v>
      </c>
    </row>
    <row r="305" spans="1:13" ht="13.2">
      <c r="A305" s="24" t="s">
        <v>1530</v>
      </c>
      <c r="B305" s="24" t="s">
        <v>1467</v>
      </c>
      <c r="C305" s="24">
        <v>0.5</v>
      </c>
      <c r="D305" s="24">
        <v>1265</v>
      </c>
      <c r="E305" s="24">
        <v>2200</v>
      </c>
      <c r="F305" s="30" t="s">
        <v>1221</v>
      </c>
      <c r="G305" s="24" t="s">
        <v>1296</v>
      </c>
      <c r="H305" s="24" t="s">
        <v>1485</v>
      </c>
      <c r="I305" s="24" t="s">
        <v>1230</v>
      </c>
      <c r="K305" s="24" t="s">
        <v>1224</v>
      </c>
      <c r="L305" s="24" t="s">
        <v>1225</v>
      </c>
      <c r="M305" s="24" t="str">
        <f t="shared" si="4"/>
        <v>XNBRMB03</v>
      </c>
    </row>
    <row r="306" spans="1:13" ht="13.2">
      <c r="A306" s="24" t="s">
        <v>1531</v>
      </c>
      <c r="B306" s="24" t="s">
        <v>1532</v>
      </c>
      <c r="C306" s="24">
        <v>0.3</v>
      </c>
      <c r="D306" s="24">
        <v>1265</v>
      </c>
      <c r="E306" s="24">
        <v>2520</v>
      </c>
      <c r="F306" s="30" t="s">
        <v>1221</v>
      </c>
      <c r="G306" s="24" t="s">
        <v>1296</v>
      </c>
      <c r="H306" s="24" t="s">
        <v>1244</v>
      </c>
      <c r="I306" s="24" t="s">
        <v>1297</v>
      </c>
      <c r="K306" s="24" t="s">
        <v>1224</v>
      </c>
      <c r="L306" s="24" t="s">
        <v>1225</v>
      </c>
      <c r="M306" s="24" t="str">
        <f t="shared" si="4"/>
        <v>XNMRW201</v>
      </c>
    </row>
    <row r="307" spans="1:13" ht="13.2">
      <c r="A307" s="24" t="s">
        <v>1533</v>
      </c>
      <c r="B307" s="24" t="s">
        <v>1532</v>
      </c>
      <c r="C307" s="24">
        <v>0.3</v>
      </c>
      <c r="D307" s="24">
        <v>1265</v>
      </c>
      <c r="E307" s="24">
        <v>2520</v>
      </c>
      <c r="F307" s="30" t="s">
        <v>1221</v>
      </c>
      <c r="G307" s="24" t="s">
        <v>1296</v>
      </c>
      <c r="H307" s="24" t="s">
        <v>1244</v>
      </c>
      <c r="I307" s="24" t="s">
        <v>1297</v>
      </c>
      <c r="K307" s="24" t="s">
        <v>1224</v>
      </c>
      <c r="L307" s="24" t="s">
        <v>1225</v>
      </c>
      <c r="M307" s="24" t="str">
        <f t="shared" si="4"/>
        <v>XNMRW201</v>
      </c>
    </row>
    <row r="308" spans="1:13" ht="13.2">
      <c r="A308" s="24" t="s">
        <v>1534</v>
      </c>
      <c r="B308" s="24" t="s">
        <v>1532</v>
      </c>
      <c r="C308" s="24">
        <v>0.3</v>
      </c>
      <c r="D308" s="24">
        <v>1265</v>
      </c>
      <c r="E308" s="24">
        <v>2520</v>
      </c>
      <c r="F308" s="30" t="s">
        <v>1221</v>
      </c>
      <c r="G308" s="24" t="s">
        <v>1296</v>
      </c>
      <c r="H308" s="24" t="s">
        <v>1478</v>
      </c>
      <c r="I308" s="24" t="s">
        <v>1297</v>
      </c>
      <c r="K308" s="24" t="s">
        <v>1224</v>
      </c>
      <c r="L308" s="24" t="s">
        <v>1225</v>
      </c>
      <c r="M308" s="24" t="str">
        <f t="shared" si="4"/>
        <v>XNMRW301</v>
      </c>
    </row>
    <row r="309" spans="1:13" ht="13.2">
      <c r="A309" s="24" t="s">
        <v>1535</v>
      </c>
      <c r="B309" s="24" t="s">
        <v>1532</v>
      </c>
      <c r="C309" s="24">
        <v>0.3</v>
      </c>
      <c r="D309" s="24">
        <v>1265</v>
      </c>
      <c r="E309" s="24">
        <v>2520</v>
      </c>
      <c r="F309" s="30" t="s">
        <v>1221</v>
      </c>
      <c r="G309" s="24" t="s">
        <v>1296</v>
      </c>
      <c r="H309" s="24" t="s">
        <v>1478</v>
      </c>
      <c r="I309" s="24" t="s">
        <v>1297</v>
      </c>
      <c r="K309" s="24" t="s">
        <v>1224</v>
      </c>
      <c r="L309" s="24" t="s">
        <v>1225</v>
      </c>
      <c r="M309" s="24" t="str">
        <f t="shared" si="4"/>
        <v>XNMRW301</v>
      </c>
    </row>
    <row r="310" spans="1:13" ht="13.2">
      <c r="A310" s="24" t="s">
        <v>1536</v>
      </c>
      <c r="B310" s="24" t="s">
        <v>1532</v>
      </c>
      <c r="C310" s="24">
        <v>0.3</v>
      </c>
      <c r="D310" s="24">
        <v>1265</v>
      </c>
      <c r="E310" s="24">
        <v>2520</v>
      </c>
      <c r="F310" s="30" t="s">
        <v>1221</v>
      </c>
      <c r="G310" s="24" t="s">
        <v>1296</v>
      </c>
      <c r="H310" s="24" t="s">
        <v>1250</v>
      </c>
      <c r="I310" s="24" t="s">
        <v>1297</v>
      </c>
      <c r="K310" s="24" t="s">
        <v>1224</v>
      </c>
      <c r="L310" s="24" t="s">
        <v>1225</v>
      </c>
      <c r="M310" s="24" t="str">
        <f t="shared" si="4"/>
        <v>XNMRW402</v>
      </c>
    </row>
    <row r="311" spans="1:13" ht="13.2">
      <c r="A311" s="24" t="s">
        <v>1537</v>
      </c>
      <c r="B311" s="24" t="s">
        <v>1532</v>
      </c>
      <c r="C311" s="24">
        <v>0.3</v>
      </c>
      <c r="D311" s="24">
        <v>1265</v>
      </c>
      <c r="E311" s="24">
        <v>2520</v>
      </c>
      <c r="F311" s="30" t="s">
        <v>1221</v>
      </c>
      <c r="G311" s="24" t="s">
        <v>1296</v>
      </c>
      <c r="H311" s="24" t="s">
        <v>1250</v>
      </c>
      <c r="I311" s="24" t="s">
        <v>1297</v>
      </c>
      <c r="K311" s="24" t="s">
        <v>1224</v>
      </c>
      <c r="L311" s="24" t="s">
        <v>1225</v>
      </c>
      <c r="M311" s="24" t="str">
        <f t="shared" si="4"/>
        <v>XNMRW402</v>
      </c>
    </row>
    <row r="312" spans="1:13" ht="13.2">
      <c r="A312" s="24" t="s">
        <v>1538</v>
      </c>
      <c r="B312" s="24" t="s">
        <v>1532</v>
      </c>
      <c r="C312" s="24">
        <v>0.3</v>
      </c>
      <c r="D312" s="24">
        <v>1265</v>
      </c>
      <c r="E312" s="24">
        <v>2520</v>
      </c>
      <c r="F312" s="30" t="s">
        <v>1252</v>
      </c>
      <c r="G312" s="24" t="s">
        <v>1296</v>
      </c>
      <c r="H312" s="24" t="s">
        <v>1137</v>
      </c>
      <c r="I312" s="24" t="s">
        <v>1297</v>
      </c>
      <c r="K312" s="24" t="s">
        <v>1224</v>
      </c>
      <c r="L312" s="24" t="s">
        <v>1225</v>
      </c>
      <c r="M312" s="24" t="str">
        <f t="shared" si="4"/>
        <v>XNMRWB01</v>
      </c>
    </row>
    <row r="313" spans="1:13" ht="13.2">
      <c r="A313" s="24" t="s">
        <v>1539</v>
      </c>
      <c r="B313" s="24" t="s">
        <v>1532</v>
      </c>
      <c r="C313" s="24">
        <v>0.3</v>
      </c>
      <c r="D313" s="24">
        <v>1265</v>
      </c>
      <c r="E313" s="24">
        <v>2520</v>
      </c>
      <c r="F313" s="30" t="s">
        <v>1252</v>
      </c>
      <c r="G313" s="24" t="s">
        <v>1296</v>
      </c>
      <c r="H313" s="24" t="s">
        <v>1137</v>
      </c>
      <c r="I313" s="24" t="s">
        <v>1297</v>
      </c>
      <c r="K313" s="24" t="s">
        <v>1224</v>
      </c>
      <c r="L313" s="24" t="s">
        <v>1225</v>
      </c>
      <c r="M313" s="24" t="str">
        <f t="shared" si="4"/>
        <v>XNMRWB01</v>
      </c>
    </row>
    <row r="314" spans="1:13" ht="13.2">
      <c r="A314" s="24" t="s">
        <v>1540</v>
      </c>
      <c r="B314" s="24" t="s">
        <v>1532</v>
      </c>
      <c r="C314" s="24">
        <v>0.3</v>
      </c>
      <c r="D314" s="24">
        <v>1265</v>
      </c>
      <c r="E314" s="24">
        <v>2520</v>
      </c>
      <c r="F314" s="30" t="s">
        <v>1252</v>
      </c>
      <c r="G314" s="24" t="s">
        <v>1296</v>
      </c>
      <c r="H314" s="24" t="s">
        <v>1302</v>
      </c>
      <c r="I314" s="24" t="s">
        <v>1297</v>
      </c>
      <c r="K314" s="24" t="s">
        <v>1224</v>
      </c>
      <c r="L314" s="24" t="s">
        <v>1225</v>
      </c>
      <c r="M314" s="24" t="str">
        <f t="shared" si="4"/>
        <v>XNMRWD01</v>
      </c>
    </row>
    <row r="315" spans="1:13" ht="13.2">
      <c r="A315" s="24" t="s">
        <v>1541</v>
      </c>
      <c r="B315" s="24" t="s">
        <v>1532</v>
      </c>
      <c r="C315" s="24">
        <v>0.3</v>
      </c>
      <c r="D315" s="24">
        <v>1265</v>
      </c>
      <c r="E315" s="24">
        <v>2520</v>
      </c>
      <c r="F315" s="30" t="s">
        <v>1252</v>
      </c>
      <c r="G315" s="24" t="s">
        <v>1296</v>
      </c>
      <c r="H315" s="24" t="s">
        <v>1302</v>
      </c>
      <c r="I315" s="24" t="s">
        <v>1297</v>
      </c>
      <c r="K315" s="24" t="s">
        <v>1224</v>
      </c>
      <c r="L315" s="24" t="s">
        <v>1225</v>
      </c>
      <c r="M315" s="24" t="str">
        <f t="shared" si="4"/>
        <v>XNMRWD01</v>
      </c>
    </row>
    <row r="316" spans="1:13" ht="13.2">
      <c r="A316" s="24" t="s">
        <v>1542</v>
      </c>
      <c r="B316" s="24" t="s">
        <v>1532</v>
      </c>
      <c r="C316" s="24">
        <v>0.5</v>
      </c>
      <c r="D316" s="24">
        <v>1265</v>
      </c>
      <c r="E316" s="24">
        <v>2520</v>
      </c>
      <c r="F316" s="30" t="s">
        <v>1221</v>
      </c>
      <c r="G316" s="24" t="s">
        <v>1296</v>
      </c>
      <c r="H316" s="24" t="s">
        <v>1250</v>
      </c>
      <c r="I316" s="24" t="s">
        <v>1297</v>
      </c>
      <c r="K316" s="24" t="s">
        <v>1224</v>
      </c>
      <c r="L316" s="24" t="s">
        <v>1225</v>
      </c>
      <c r="M316" s="24" t="str">
        <f t="shared" si="4"/>
        <v>XNMRW401</v>
      </c>
    </row>
    <row r="317" spans="1:13" ht="13.2">
      <c r="A317" s="24" t="s">
        <v>1543</v>
      </c>
      <c r="B317" s="24" t="s">
        <v>1532</v>
      </c>
      <c r="C317" s="24">
        <v>0.5</v>
      </c>
      <c r="D317" s="24">
        <v>1265</v>
      </c>
      <c r="E317" s="24">
        <v>2520</v>
      </c>
      <c r="F317" s="30" t="s">
        <v>1221</v>
      </c>
      <c r="G317" s="24" t="s">
        <v>1296</v>
      </c>
      <c r="H317" s="24" t="s">
        <v>1250</v>
      </c>
      <c r="I317" s="24" t="s">
        <v>1297</v>
      </c>
      <c r="K317" s="24" t="s">
        <v>1224</v>
      </c>
      <c r="L317" s="24" t="s">
        <v>1225</v>
      </c>
      <c r="M317" s="24" t="str">
        <f t="shared" si="4"/>
        <v>XNMRW401</v>
      </c>
    </row>
    <row r="318" spans="1:13" ht="13.2">
      <c r="A318" s="24" t="s">
        <v>1544</v>
      </c>
      <c r="B318" s="24" t="s">
        <v>1545</v>
      </c>
      <c r="C318" s="24">
        <v>0.3</v>
      </c>
      <c r="D318" s="24">
        <v>1265</v>
      </c>
      <c r="E318" s="24">
        <v>2520</v>
      </c>
      <c r="F318" s="30" t="s">
        <v>1221</v>
      </c>
      <c r="G318" s="24" t="s">
        <v>1296</v>
      </c>
      <c r="H318" s="24" t="s">
        <v>1546</v>
      </c>
      <c r="I318" s="24" t="s">
        <v>1297</v>
      </c>
      <c r="K318" s="24" t="s">
        <v>1224</v>
      </c>
      <c r="L318" s="24" t="s">
        <v>1225</v>
      </c>
      <c r="M318" s="24" t="str">
        <f t="shared" si="4"/>
        <v>XOKRWS01</v>
      </c>
    </row>
    <row r="319" spans="1:13" ht="13.2">
      <c r="A319" s="24" t="s">
        <v>231</v>
      </c>
      <c r="B319" s="24" t="s">
        <v>1545</v>
      </c>
      <c r="C319" s="24">
        <v>0.3</v>
      </c>
      <c r="D319" s="24">
        <v>1265</v>
      </c>
      <c r="E319" s="24">
        <v>2520</v>
      </c>
      <c r="F319" s="30" t="s">
        <v>1221</v>
      </c>
      <c r="G319" s="24" t="s">
        <v>1296</v>
      </c>
      <c r="H319" s="24" t="s">
        <v>1546</v>
      </c>
      <c r="I319" s="24" t="s">
        <v>1297</v>
      </c>
      <c r="K319" s="24" t="s">
        <v>1224</v>
      </c>
      <c r="L319" s="24" t="s">
        <v>1225</v>
      </c>
      <c r="M319" s="24" t="str">
        <f t="shared" si="4"/>
        <v>XOKRWS01</v>
      </c>
    </row>
    <row r="320" spans="1:13" ht="13.2">
      <c r="A320" s="24" t="s">
        <v>1547</v>
      </c>
      <c r="B320" s="24" t="s">
        <v>1548</v>
      </c>
      <c r="C320" s="24">
        <v>0.5</v>
      </c>
      <c r="D320" s="24">
        <v>1265</v>
      </c>
      <c r="E320" s="24">
        <v>2520</v>
      </c>
      <c r="F320" s="30" t="s">
        <v>1221</v>
      </c>
      <c r="G320" s="24" t="s">
        <v>1222</v>
      </c>
      <c r="H320" s="24" t="s">
        <v>1244</v>
      </c>
      <c r="I320" s="24" t="s">
        <v>1230</v>
      </c>
      <c r="K320" s="24" t="s">
        <v>1224</v>
      </c>
      <c r="L320" s="24" t="s">
        <v>1225</v>
      </c>
      <c r="M320" s="24" t="str">
        <f t="shared" si="4"/>
        <v>XPEPM201</v>
      </c>
    </row>
    <row r="321" spans="1:13" ht="13.2">
      <c r="A321" s="24" t="s">
        <v>1549</v>
      </c>
      <c r="B321" s="24" t="s">
        <v>1548</v>
      </c>
      <c r="C321" s="24">
        <v>0.5</v>
      </c>
      <c r="D321" s="24">
        <v>1265</v>
      </c>
      <c r="E321" s="24">
        <v>2520</v>
      </c>
      <c r="F321" s="30" t="s">
        <v>1221</v>
      </c>
      <c r="G321" s="24" t="s">
        <v>1222</v>
      </c>
      <c r="H321" s="24" t="s">
        <v>1244</v>
      </c>
      <c r="I321" s="24" t="s">
        <v>1230</v>
      </c>
      <c r="K321" s="24" t="s">
        <v>1224</v>
      </c>
      <c r="L321" s="24" t="s">
        <v>1225</v>
      </c>
      <c r="M321" s="24" t="str">
        <f t="shared" si="4"/>
        <v>XPEPM201</v>
      </c>
    </row>
    <row r="322" spans="1:13" ht="13.2">
      <c r="A322" s="24" t="s">
        <v>1550</v>
      </c>
      <c r="B322" s="24" t="s">
        <v>1551</v>
      </c>
      <c r="C322" s="24">
        <v>0.3</v>
      </c>
      <c r="D322" s="24">
        <v>1265</v>
      </c>
      <c r="E322" s="24">
        <v>2520</v>
      </c>
      <c r="F322" s="30" t="s">
        <v>1221</v>
      </c>
      <c r="G322" s="24" t="s">
        <v>1296</v>
      </c>
      <c r="H322" s="24" t="s">
        <v>1109</v>
      </c>
      <c r="I322" s="24" t="s">
        <v>1297</v>
      </c>
      <c r="K322" s="24" t="s">
        <v>1224</v>
      </c>
      <c r="L322" s="24" t="s">
        <v>1225</v>
      </c>
      <c r="M322" s="24" t="str">
        <f t="shared" ref="M322:M385" si="5">RIGHT(A322,8)</f>
        <v>XRBRW101</v>
      </c>
    </row>
    <row r="323" spans="1:13" ht="13.2">
      <c r="A323" s="24" t="s">
        <v>1552</v>
      </c>
      <c r="B323" s="24" t="s">
        <v>1551</v>
      </c>
      <c r="C323" s="24">
        <v>0.3</v>
      </c>
      <c r="D323" s="24">
        <v>1265</v>
      </c>
      <c r="E323" s="24">
        <v>2520</v>
      </c>
      <c r="F323" s="30" t="s">
        <v>1221</v>
      </c>
      <c r="G323" s="24" t="s">
        <v>1296</v>
      </c>
      <c r="H323" s="24" t="s">
        <v>1109</v>
      </c>
      <c r="I323" s="24" t="s">
        <v>1297</v>
      </c>
      <c r="K323" s="24" t="s">
        <v>1224</v>
      </c>
      <c r="L323" s="24" t="s">
        <v>1225</v>
      </c>
      <c r="M323" s="24" t="str">
        <f t="shared" si="5"/>
        <v>XRBRW101</v>
      </c>
    </row>
    <row r="324" spans="1:13" ht="13.2">
      <c r="A324" s="24" t="s">
        <v>1553</v>
      </c>
      <c r="B324" s="24" t="s">
        <v>1551</v>
      </c>
      <c r="C324" s="24">
        <v>0.3</v>
      </c>
      <c r="D324" s="24">
        <v>1265</v>
      </c>
      <c r="E324" s="24">
        <v>2520</v>
      </c>
      <c r="F324" s="30" t="s">
        <v>1221</v>
      </c>
      <c r="G324" s="24" t="s">
        <v>1296</v>
      </c>
      <c r="H324" s="24" t="s">
        <v>1244</v>
      </c>
      <c r="I324" s="24" t="s">
        <v>1297</v>
      </c>
      <c r="K324" s="24" t="s">
        <v>1224</v>
      </c>
      <c r="L324" s="24" t="s">
        <v>1225</v>
      </c>
      <c r="M324" s="24" t="str">
        <f t="shared" si="5"/>
        <v>XRBRW201</v>
      </c>
    </row>
    <row r="325" spans="1:13" ht="13.2">
      <c r="A325" s="24" t="s">
        <v>1554</v>
      </c>
      <c r="B325" s="24" t="s">
        <v>1551</v>
      </c>
      <c r="C325" s="24">
        <v>0.3</v>
      </c>
      <c r="D325" s="24">
        <v>1265</v>
      </c>
      <c r="E325" s="24">
        <v>2520</v>
      </c>
      <c r="F325" s="30" t="s">
        <v>1221</v>
      </c>
      <c r="G325" s="24" t="s">
        <v>1296</v>
      </c>
      <c r="H325" s="24" t="s">
        <v>1244</v>
      </c>
      <c r="I325" s="24" t="s">
        <v>1297</v>
      </c>
      <c r="K325" s="24" t="s">
        <v>1224</v>
      </c>
      <c r="L325" s="24" t="s">
        <v>1225</v>
      </c>
      <c r="M325" s="24" t="str">
        <f t="shared" si="5"/>
        <v>XRBRW201</v>
      </c>
    </row>
    <row r="326" spans="1:13" ht="13.2">
      <c r="A326" s="24" t="s">
        <v>1555</v>
      </c>
      <c r="B326" s="24" t="s">
        <v>1551</v>
      </c>
      <c r="C326" s="24">
        <v>0.3</v>
      </c>
      <c r="D326" s="24">
        <v>1265</v>
      </c>
      <c r="E326" s="24">
        <v>2520</v>
      </c>
      <c r="F326" s="30" t="s">
        <v>1252</v>
      </c>
      <c r="G326" s="24" t="s">
        <v>1296</v>
      </c>
      <c r="H326" s="24" t="s">
        <v>1137</v>
      </c>
      <c r="I326" s="24" t="s">
        <v>1297</v>
      </c>
      <c r="K326" s="24" t="s">
        <v>1224</v>
      </c>
      <c r="L326" s="24" t="s">
        <v>1225</v>
      </c>
      <c r="M326" s="24" t="str">
        <f t="shared" si="5"/>
        <v>XRBRWB01</v>
      </c>
    </row>
    <row r="327" spans="1:13" ht="13.2">
      <c r="A327" s="24" t="s">
        <v>1556</v>
      </c>
      <c r="B327" s="24" t="s">
        <v>1551</v>
      </c>
      <c r="C327" s="24">
        <v>0.3</v>
      </c>
      <c r="D327" s="24">
        <v>1265</v>
      </c>
      <c r="E327" s="24">
        <v>2520</v>
      </c>
      <c r="F327" s="30" t="s">
        <v>1252</v>
      </c>
      <c r="G327" s="24" t="s">
        <v>1296</v>
      </c>
      <c r="H327" s="24" t="s">
        <v>1137</v>
      </c>
      <c r="I327" s="24" t="s">
        <v>1297</v>
      </c>
      <c r="K327" s="24" t="s">
        <v>1224</v>
      </c>
      <c r="L327" s="24" t="s">
        <v>1225</v>
      </c>
      <c r="M327" s="24" t="str">
        <f t="shared" si="5"/>
        <v>XRBRWB01</v>
      </c>
    </row>
    <row r="328" spans="1:13" ht="13.2">
      <c r="A328" s="24" t="s">
        <v>1557</v>
      </c>
      <c r="B328" s="24" t="s">
        <v>1551</v>
      </c>
      <c r="C328" s="24">
        <v>0.3</v>
      </c>
      <c r="D328" s="24">
        <v>1265</v>
      </c>
      <c r="E328" s="24">
        <v>2520</v>
      </c>
      <c r="F328" s="30" t="s">
        <v>1252</v>
      </c>
      <c r="G328" s="24" t="s">
        <v>1296</v>
      </c>
      <c r="H328" s="24" t="s">
        <v>1278</v>
      </c>
      <c r="I328" s="24" t="s">
        <v>1297</v>
      </c>
      <c r="K328" s="24" t="s">
        <v>1224</v>
      </c>
      <c r="L328" s="24" t="s">
        <v>1225</v>
      </c>
      <c r="M328" s="24" t="str">
        <f t="shared" si="5"/>
        <v>XRBRWC01</v>
      </c>
    </row>
    <row r="329" spans="1:13" ht="13.2">
      <c r="A329" s="24" t="s">
        <v>1558</v>
      </c>
      <c r="B329" s="24" t="s">
        <v>1551</v>
      </c>
      <c r="C329" s="24">
        <v>0.3</v>
      </c>
      <c r="D329" s="24">
        <v>1265</v>
      </c>
      <c r="E329" s="24">
        <v>2520</v>
      </c>
      <c r="F329" s="30" t="s">
        <v>1252</v>
      </c>
      <c r="G329" s="24" t="s">
        <v>1296</v>
      </c>
      <c r="H329" s="24" t="s">
        <v>1278</v>
      </c>
      <c r="I329" s="24" t="s">
        <v>1297</v>
      </c>
      <c r="K329" s="24" t="s">
        <v>1224</v>
      </c>
      <c r="L329" s="24" t="s">
        <v>1225</v>
      </c>
      <c r="M329" s="24" t="str">
        <f t="shared" si="5"/>
        <v>XRBRWC01</v>
      </c>
    </row>
    <row r="330" spans="1:13" ht="13.2">
      <c r="A330" s="24" t="s">
        <v>1559</v>
      </c>
      <c r="B330" s="24" t="s">
        <v>1551</v>
      </c>
      <c r="C330" s="24">
        <v>0.5</v>
      </c>
      <c r="D330" s="24">
        <v>1265</v>
      </c>
      <c r="E330" s="24">
        <v>2520</v>
      </c>
      <c r="F330" s="30" t="s">
        <v>1252</v>
      </c>
      <c r="G330" s="24" t="s">
        <v>1296</v>
      </c>
      <c r="H330" s="24" t="s">
        <v>1137</v>
      </c>
      <c r="I330" s="24" t="s">
        <v>1230</v>
      </c>
      <c r="K330" s="24" t="s">
        <v>1224</v>
      </c>
      <c r="L330" s="24" t="s">
        <v>1225</v>
      </c>
      <c r="M330" s="24" t="str">
        <f t="shared" si="5"/>
        <v>XRBRMB02</v>
      </c>
    </row>
    <row r="331" spans="1:13" ht="13.2">
      <c r="A331" s="24" t="s">
        <v>1560</v>
      </c>
      <c r="B331" s="24" t="s">
        <v>1551</v>
      </c>
      <c r="C331" s="24">
        <v>0.5</v>
      </c>
      <c r="D331" s="24">
        <v>1265</v>
      </c>
      <c r="E331" s="24">
        <v>2520</v>
      </c>
      <c r="F331" s="30" t="s">
        <v>1252</v>
      </c>
      <c r="G331" s="24" t="s">
        <v>1296</v>
      </c>
      <c r="H331" s="24" t="s">
        <v>1137</v>
      </c>
      <c r="I331" s="24" t="s">
        <v>1230</v>
      </c>
      <c r="K331" s="24" t="s">
        <v>1224</v>
      </c>
      <c r="L331" s="24" t="s">
        <v>1225</v>
      </c>
      <c r="M331" s="24" t="str">
        <f t="shared" si="5"/>
        <v>XRBRMB02</v>
      </c>
    </row>
    <row r="332" spans="1:13" ht="13.2">
      <c r="A332" s="24" t="s">
        <v>1561</v>
      </c>
      <c r="B332" s="24" t="s">
        <v>1562</v>
      </c>
      <c r="C332" s="24">
        <v>0.2</v>
      </c>
      <c r="D332" s="24">
        <v>1265</v>
      </c>
      <c r="E332" s="24">
        <v>2520</v>
      </c>
      <c r="F332" s="30" t="s">
        <v>1221</v>
      </c>
      <c r="G332" s="24" t="s">
        <v>1222</v>
      </c>
      <c r="H332" s="24" t="s">
        <v>1244</v>
      </c>
      <c r="I332" s="24" t="s">
        <v>1223</v>
      </c>
      <c r="K332" s="24" t="s">
        <v>1224</v>
      </c>
      <c r="L332" s="24" t="s">
        <v>1225</v>
      </c>
      <c r="M332" s="24" t="str">
        <f t="shared" si="5"/>
        <v>XROPB201</v>
      </c>
    </row>
    <row r="333" spans="1:13" ht="13.2">
      <c r="A333" s="24" t="s">
        <v>1563</v>
      </c>
      <c r="B333" s="24" t="s">
        <v>1562</v>
      </c>
      <c r="C333" s="24">
        <v>0.2</v>
      </c>
      <c r="D333" s="24">
        <v>1265</v>
      </c>
      <c r="E333" s="24">
        <v>2520</v>
      </c>
      <c r="F333" s="30" t="s">
        <v>1221</v>
      </c>
      <c r="G333" s="24" t="s">
        <v>1222</v>
      </c>
      <c r="H333" s="24" t="s">
        <v>1244</v>
      </c>
      <c r="I333" s="24" t="s">
        <v>1223</v>
      </c>
      <c r="K333" s="24" t="s">
        <v>1224</v>
      </c>
      <c r="L333" s="24" t="s">
        <v>1225</v>
      </c>
      <c r="M333" s="24" t="str">
        <f t="shared" si="5"/>
        <v>XROPB201</v>
      </c>
    </row>
    <row r="334" spans="1:13" ht="13.2">
      <c r="A334" s="24" t="s">
        <v>1564</v>
      </c>
      <c r="B334" s="24" t="s">
        <v>1562</v>
      </c>
      <c r="C334" s="24">
        <v>0.3</v>
      </c>
      <c r="D334" s="24">
        <v>1265</v>
      </c>
      <c r="E334" s="24">
        <v>2520</v>
      </c>
      <c r="F334" s="30" t="s">
        <v>1221</v>
      </c>
      <c r="G334" s="24" t="s">
        <v>1296</v>
      </c>
      <c r="H334" s="24" t="s">
        <v>1244</v>
      </c>
      <c r="I334" s="24" t="s">
        <v>1230</v>
      </c>
      <c r="K334" s="24" t="s">
        <v>1224</v>
      </c>
      <c r="L334" s="24" t="s">
        <v>1225</v>
      </c>
      <c r="M334" s="24" t="str">
        <f t="shared" si="5"/>
        <v>XRORM291</v>
      </c>
    </row>
    <row r="335" spans="1:13" ht="13.2">
      <c r="A335" s="24" t="s">
        <v>1565</v>
      </c>
      <c r="B335" s="24" t="s">
        <v>1562</v>
      </c>
      <c r="C335" s="24">
        <v>0.3</v>
      </c>
      <c r="D335" s="24">
        <v>1265</v>
      </c>
      <c r="E335" s="24">
        <v>2520</v>
      </c>
      <c r="F335" s="30" t="s">
        <v>1221</v>
      </c>
      <c r="G335" s="24" t="s">
        <v>1296</v>
      </c>
      <c r="H335" s="24" t="s">
        <v>1244</v>
      </c>
      <c r="I335" s="24" t="s">
        <v>1230</v>
      </c>
      <c r="K335" s="24" t="s">
        <v>1224</v>
      </c>
      <c r="L335" s="24" t="s">
        <v>1225</v>
      </c>
      <c r="M335" s="24" t="str">
        <f t="shared" si="5"/>
        <v>XRORM291</v>
      </c>
    </row>
    <row r="336" spans="1:13" ht="13.2">
      <c r="A336" s="24" t="s">
        <v>1566</v>
      </c>
      <c r="B336" s="24" t="s">
        <v>1562</v>
      </c>
      <c r="C336" s="24">
        <v>0.3</v>
      </c>
      <c r="D336" s="24">
        <v>1265</v>
      </c>
      <c r="E336" s="24">
        <v>2520</v>
      </c>
      <c r="F336" s="30" t="s">
        <v>1252</v>
      </c>
      <c r="G336" s="24" t="s">
        <v>1296</v>
      </c>
      <c r="H336" s="24" t="s">
        <v>1137</v>
      </c>
      <c r="I336" s="24" t="s">
        <v>1297</v>
      </c>
      <c r="K336" s="24" t="s">
        <v>1224</v>
      </c>
      <c r="L336" s="24" t="s">
        <v>1225</v>
      </c>
      <c r="M336" s="24" t="str">
        <f t="shared" si="5"/>
        <v>XRORWB91</v>
      </c>
    </row>
    <row r="337" spans="1:13" ht="13.2">
      <c r="A337" s="24" t="s">
        <v>1567</v>
      </c>
      <c r="B337" s="24" t="s">
        <v>1562</v>
      </c>
      <c r="C337" s="24">
        <v>0.3</v>
      </c>
      <c r="D337" s="24">
        <v>1265</v>
      </c>
      <c r="E337" s="24">
        <v>2520</v>
      </c>
      <c r="F337" s="30" t="s">
        <v>1252</v>
      </c>
      <c r="G337" s="24" t="s">
        <v>1296</v>
      </c>
      <c r="H337" s="24" t="s">
        <v>1137</v>
      </c>
      <c r="I337" s="24" t="s">
        <v>1297</v>
      </c>
      <c r="K337" s="24" t="s">
        <v>1224</v>
      </c>
      <c r="L337" s="24" t="s">
        <v>1225</v>
      </c>
      <c r="M337" s="24" t="str">
        <f t="shared" si="5"/>
        <v>XRORWB91</v>
      </c>
    </row>
    <row r="338" spans="1:13" ht="13.2">
      <c r="A338" s="24" t="s">
        <v>1568</v>
      </c>
      <c r="B338" s="24" t="s">
        <v>1562</v>
      </c>
      <c r="C338" s="24">
        <v>0.4</v>
      </c>
      <c r="D338" s="24">
        <v>1265</v>
      </c>
      <c r="E338" s="24">
        <v>2520</v>
      </c>
      <c r="F338" s="30" t="s">
        <v>1221</v>
      </c>
      <c r="G338" s="24" t="s">
        <v>1222</v>
      </c>
      <c r="H338" s="24" t="s">
        <v>1109</v>
      </c>
      <c r="I338" s="24" t="s">
        <v>1223</v>
      </c>
      <c r="K338" s="24" t="s">
        <v>1224</v>
      </c>
      <c r="L338" s="24" t="s">
        <v>1225</v>
      </c>
      <c r="M338" s="24" t="str">
        <f t="shared" si="5"/>
        <v>XROPB102</v>
      </c>
    </row>
    <row r="339" spans="1:13" ht="13.2">
      <c r="A339" s="24" t="s">
        <v>1569</v>
      </c>
      <c r="B339" s="24" t="s">
        <v>1562</v>
      </c>
      <c r="C339" s="24">
        <v>0.4</v>
      </c>
      <c r="D339" s="24">
        <v>1265</v>
      </c>
      <c r="E339" s="24">
        <v>2520</v>
      </c>
      <c r="F339" s="30" t="s">
        <v>1221</v>
      </c>
      <c r="G339" s="24" t="s">
        <v>1222</v>
      </c>
      <c r="H339" s="24" t="s">
        <v>1109</v>
      </c>
      <c r="I339" s="24" t="s">
        <v>1223</v>
      </c>
      <c r="K339" s="24" t="s">
        <v>1224</v>
      </c>
      <c r="L339" s="24" t="s">
        <v>1225</v>
      </c>
      <c r="M339" s="24" t="str">
        <f t="shared" si="5"/>
        <v>XROPB102</v>
      </c>
    </row>
    <row r="340" spans="1:13" ht="13.2">
      <c r="A340" s="24" t="s">
        <v>1570</v>
      </c>
      <c r="B340" s="24" t="s">
        <v>1562</v>
      </c>
      <c r="C340" s="24">
        <v>0.4</v>
      </c>
      <c r="D340" s="24">
        <v>1265</v>
      </c>
      <c r="E340" s="24">
        <v>3100</v>
      </c>
      <c r="F340" s="30" t="s">
        <v>1221</v>
      </c>
      <c r="G340" s="24" t="s">
        <v>1222</v>
      </c>
      <c r="H340" s="24" t="s">
        <v>1109</v>
      </c>
      <c r="I340" s="24" t="s">
        <v>1230</v>
      </c>
      <c r="K340" s="24" t="s">
        <v>1224</v>
      </c>
      <c r="L340" s="24" t="s">
        <v>1225</v>
      </c>
      <c r="M340" s="24" t="str">
        <f t="shared" si="5"/>
        <v>XROPM104</v>
      </c>
    </row>
    <row r="341" spans="1:13" ht="13.2">
      <c r="A341" s="24" t="s">
        <v>1571</v>
      </c>
      <c r="B341" s="24" t="s">
        <v>1562</v>
      </c>
      <c r="C341" s="24">
        <v>0.4</v>
      </c>
      <c r="D341" s="24">
        <v>1265</v>
      </c>
      <c r="E341" s="24">
        <v>3100</v>
      </c>
      <c r="F341" s="30" t="s">
        <v>1221</v>
      </c>
      <c r="G341" s="24" t="s">
        <v>1222</v>
      </c>
      <c r="H341" s="24" t="s">
        <v>1109</v>
      </c>
      <c r="I341" s="24" t="s">
        <v>1230</v>
      </c>
      <c r="K341" s="24" t="s">
        <v>1224</v>
      </c>
      <c r="L341" s="24" t="s">
        <v>1225</v>
      </c>
      <c r="M341" s="24" t="str">
        <f t="shared" si="5"/>
        <v>XROPM104</v>
      </c>
    </row>
    <row r="342" spans="1:13" ht="13.2">
      <c r="A342" s="24" t="s">
        <v>1572</v>
      </c>
      <c r="B342" s="24" t="s">
        <v>1562</v>
      </c>
      <c r="C342" s="24">
        <v>0.4</v>
      </c>
      <c r="D342" s="24">
        <v>1265</v>
      </c>
      <c r="E342" s="24">
        <v>2520</v>
      </c>
      <c r="F342" s="30" t="s">
        <v>1221</v>
      </c>
      <c r="G342" s="24" t="s">
        <v>1222</v>
      </c>
      <c r="H342" s="24" t="s">
        <v>1109</v>
      </c>
      <c r="I342" s="24" t="s">
        <v>1232</v>
      </c>
      <c r="K342" s="24" t="s">
        <v>1224</v>
      </c>
      <c r="L342" s="24" t="s">
        <v>1225</v>
      </c>
      <c r="M342" s="24" t="str">
        <f t="shared" si="5"/>
        <v>XROPS102</v>
      </c>
    </row>
    <row r="343" spans="1:13" ht="13.2">
      <c r="A343" s="24" t="s">
        <v>1573</v>
      </c>
      <c r="B343" s="24" t="s">
        <v>1562</v>
      </c>
      <c r="C343" s="24">
        <v>0.4</v>
      </c>
      <c r="D343" s="24">
        <v>1265</v>
      </c>
      <c r="E343" s="24">
        <v>2520</v>
      </c>
      <c r="F343" s="30" t="s">
        <v>1221</v>
      </c>
      <c r="G343" s="24" t="s">
        <v>1222</v>
      </c>
      <c r="H343" s="24" t="s">
        <v>1109</v>
      </c>
      <c r="I343" s="24" t="s">
        <v>1232</v>
      </c>
      <c r="K343" s="24" t="s">
        <v>1224</v>
      </c>
      <c r="L343" s="24" t="s">
        <v>1225</v>
      </c>
      <c r="M343" s="24" t="str">
        <f t="shared" si="5"/>
        <v>XROPS102</v>
      </c>
    </row>
    <row r="344" spans="1:13" ht="13.2">
      <c r="A344" s="24" t="s">
        <v>1574</v>
      </c>
      <c r="B344" s="24" t="s">
        <v>1562</v>
      </c>
      <c r="C344" s="24">
        <v>0.4</v>
      </c>
      <c r="D344" s="24">
        <v>1265</v>
      </c>
      <c r="E344" s="24">
        <v>2520</v>
      </c>
      <c r="F344" s="30" t="s">
        <v>1252</v>
      </c>
      <c r="G344" s="24" t="s">
        <v>1222</v>
      </c>
      <c r="H344" s="24" t="s">
        <v>1244</v>
      </c>
      <c r="I344" s="24" t="s">
        <v>1223</v>
      </c>
      <c r="K344" s="24" t="s">
        <v>1224</v>
      </c>
      <c r="L344" s="24" t="s">
        <v>1225</v>
      </c>
      <c r="M344" s="24" t="str">
        <f t="shared" si="5"/>
        <v>XROPB204</v>
      </c>
    </row>
    <row r="345" spans="1:13" ht="13.2">
      <c r="A345" s="24" t="s">
        <v>1575</v>
      </c>
      <c r="B345" s="24" t="s">
        <v>1562</v>
      </c>
      <c r="C345" s="24">
        <v>0.4</v>
      </c>
      <c r="D345" s="24">
        <v>1265</v>
      </c>
      <c r="E345" s="24">
        <v>2520</v>
      </c>
      <c r="F345" s="30" t="s">
        <v>1252</v>
      </c>
      <c r="G345" s="24" t="s">
        <v>1222</v>
      </c>
      <c r="H345" s="24" t="s">
        <v>1244</v>
      </c>
      <c r="I345" s="24" t="s">
        <v>1223</v>
      </c>
      <c r="K345" s="24" t="s">
        <v>1224</v>
      </c>
      <c r="L345" s="24" t="s">
        <v>1225</v>
      </c>
      <c r="M345" s="24" t="str">
        <f t="shared" si="5"/>
        <v>XROPB204</v>
      </c>
    </row>
    <row r="346" spans="1:13" ht="13.2">
      <c r="A346" s="24" t="s">
        <v>1576</v>
      </c>
      <c r="B346" s="24" t="s">
        <v>1562</v>
      </c>
      <c r="C346" s="24">
        <v>0.4</v>
      </c>
      <c r="D346" s="24">
        <v>1265</v>
      </c>
      <c r="E346" s="24">
        <v>2520</v>
      </c>
      <c r="F346" s="30" t="s">
        <v>1252</v>
      </c>
      <c r="G346" s="24" t="s">
        <v>1222</v>
      </c>
      <c r="H346" s="24" t="s">
        <v>49</v>
      </c>
      <c r="I346" s="24" t="s">
        <v>1223</v>
      </c>
      <c r="K346" s="24" t="s">
        <v>1224</v>
      </c>
      <c r="L346" s="24" t="s">
        <v>1225</v>
      </c>
      <c r="M346" s="24" t="str">
        <f t="shared" si="5"/>
        <v>XROPBA22</v>
      </c>
    </row>
    <row r="347" spans="1:13" ht="13.2">
      <c r="A347" s="24" t="s">
        <v>1577</v>
      </c>
      <c r="B347" s="24" t="s">
        <v>1562</v>
      </c>
      <c r="C347" s="24">
        <v>0.4</v>
      </c>
      <c r="D347" s="24">
        <v>1265</v>
      </c>
      <c r="E347" s="24">
        <v>2520</v>
      </c>
      <c r="F347" s="30" t="s">
        <v>1252</v>
      </c>
      <c r="G347" s="24" t="s">
        <v>1222</v>
      </c>
      <c r="H347" s="24" t="s">
        <v>49</v>
      </c>
      <c r="I347" s="24" t="s">
        <v>1223</v>
      </c>
      <c r="K347" s="24" t="s">
        <v>1224</v>
      </c>
      <c r="L347" s="24" t="s">
        <v>1225</v>
      </c>
      <c r="M347" s="24" t="str">
        <f t="shared" si="5"/>
        <v>XROPBA22</v>
      </c>
    </row>
    <row r="348" spans="1:13" ht="13.2">
      <c r="A348" s="24" t="s">
        <v>1578</v>
      </c>
      <c r="B348" s="24" t="s">
        <v>1562</v>
      </c>
      <c r="C348" s="24">
        <v>0.4</v>
      </c>
      <c r="D348" s="24">
        <v>1265</v>
      </c>
      <c r="E348" s="24">
        <v>3100</v>
      </c>
      <c r="F348" s="30" t="s">
        <v>1252</v>
      </c>
      <c r="G348" s="24" t="s">
        <v>1222</v>
      </c>
      <c r="H348" s="24" t="s">
        <v>49</v>
      </c>
      <c r="I348" s="24" t="s">
        <v>1223</v>
      </c>
      <c r="K348" s="24" t="s">
        <v>1224</v>
      </c>
      <c r="L348" s="24" t="s">
        <v>1225</v>
      </c>
      <c r="M348" s="24" t="str">
        <f t="shared" si="5"/>
        <v>XROPBA21</v>
      </c>
    </row>
    <row r="349" spans="1:13" ht="13.2">
      <c r="A349" s="24" t="s">
        <v>1579</v>
      </c>
      <c r="B349" s="24" t="s">
        <v>1562</v>
      </c>
      <c r="C349" s="24">
        <v>0.4</v>
      </c>
      <c r="D349" s="24">
        <v>1265</v>
      </c>
      <c r="E349" s="24">
        <v>3100</v>
      </c>
      <c r="F349" s="30" t="s">
        <v>1252</v>
      </c>
      <c r="G349" s="24" t="s">
        <v>1222</v>
      </c>
      <c r="H349" s="24" t="s">
        <v>49</v>
      </c>
      <c r="I349" s="24" t="s">
        <v>1223</v>
      </c>
      <c r="K349" s="24" t="s">
        <v>1224</v>
      </c>
      <c r="L349" s="24" t="s">
        <v>1225</v>
      </c>
      <c r="M349" s="24" t="str">
        <f t="shared" si="5"/>
        <v>XROPBA21</v>
      </c>
    </row>
    <row r="350" spans="1:13" ht="13.2">
      <c r="A350" s="24" t="s">
        <v>1580</v>
      </c>
      <c r="B350" s="24" t="s">
        <v>1562</v>
      </c>
      <c r="C350" s="24">
        <v>0.4</v>
      </c>
      <c r="D350" s="24">
        <v>965</v>
      </c>
      <c r="E350" s="24">
        <v>2250</v>
      </c>
      <c r="F350" s="30" t="s">
        <v>1252</v>
      </c>
      <c r="G350" s="24" t="s">
        <v>1222</v>
      </c>
      <c r="H350" s="24" t="s">
        <v>49</v>
      </c>
      <c r="I350" s="24" t="s">
        <v>1223</v>
      </c>
      <c r="K350" s="24" t="s">
        <v>1224</v>
      </c>
      <c r="L350" s="24" t="s">
        <v>1409</v>
      </c>
      <c r="M350" s="24" t="str">
        <f t="shared" si="5"/>
        <v>XROPBA27</v>
      </c>
    </row>
    <row r="351" spans="1:13" ht="13.2">
      <c r="A351" s="24" t="s">
        <v>1581</v>
      </c>
      <c r="B351" s="24" t="s">
        <v>1562</v>
      </c>
      <c r="C351" s="24">
        <v>0.4</v>
      </c>
      <c r="D351" s="24">
        <v>965</v>
      </c>
      <c r="E351" s="24">
        <v>2250</v>
      </c>
      <c r="F351" s="30" t="s">
        <v>1252</v>
      </c>
      <c r="G351" s="24" t="s">
        <v>1222</v>
      </c>
      <c r="H351" s="24" t="s">
        <v>49</v>
      </c>
      <c r="I351" s="24" t="s">
        <v>1223</v>
      </c>
      <c r="K351" s="24" t="s">
        <v>1224</v>
      </c>
      <c r="L351" s="24" t="s">
        <v>1409</v>
      </c>
      <c r="M351" s="24" t="str">
        <f t="shared" si="5"/>
        <v>XROPBA27</v>
      </c>
    </row>
    <row r="352" spans="1:13" ht="13.2">
      <c r="A352" s="24" t="s">
        <v>1582</v>
      </c>
      <c r="B352" s="24" t="s">
        <v>1562</v>
      </c>
      <c r="C352" s="24">
        <v>0.4</v>
      </c>
      <c r="D352" s="24">
        <v>1265</v>
      </c>
      <c r="E352" s="24">
        <v>2520</v>
      </c>
      <c r="F352" s="30" t="s">
        <v>1252</v>
      </c>
      <c r="G352" s="24" t="s">
        <v>1222</v>
      </c>
      <c r="H352" s="24" t="s">
        <v>1137</v>
      </c>
      <c r="I352" s="24" t="s">
        <v>1223</v>
      </c>
      <c r="K352" s="24" t="s">
        <v>1224</v>
      </c>
      <c r="L352" s="24" t="s">
        <v>1225</v>
      </c>
      <c r="M352" s="24" t="str">
        <f t="shared" si="5"/>
        <v>XROPBB02</v>
      </c>
    </row>
    <row r="353" spans="1:13" ht="13.2">
      <c r="A353" s="24" t="s">
        <v>1583</v>
      </c>
      <c r="B353" s="24" t="s">
        <v>1562</v>
      </c>
      <c r="C353" s="24">
        <v>0.4</v>
      </c>
      <c r="D353" s="24">
        <v>1265</v>
      </c>
      <c r="E353" s="24">
        <v>2520</v>
      </c>
      <c r="F353" s="30" t="s">
        <v>1252</v>
      </c>
      <c r="G353" s="24" t="s">
        <v>1222</v>
      </c>
      <c r="H353" s="24" t="s">
        <v>1137</v>
      </c>
      <c r="I353" s="24" t="s">
        <v>1223</v>
      </c>
      <c r="K353" s="24" t="s">
        <v>1224</v>
      </c>
      <c r="L353" s="24" t="s">
        <v>1225</v>
      </c>
      <c r="M353" s="24" t="str">
        <f t="shared" si="5"/>
        <v>XROPBB02</v>
      </c>
    </row>
    <row r="354" spans="1:13" ht="13.2">
      <c r="A354" s="24" t="s">
        <v>1584</v>
      </c>
      <c r="B354" s="24" t="s">
        <v>1562</v>
      </c>
      <c r="C354" s="24">
        <v>0.4</v>
      </c>
      <c r="D354" s="24">
        <v>1265</v>
      </c>
      <c r="E354" s="24">
        <v>2520</v>
      </c>
      <c r="F354" s="30" t="s">
        <v>1252</v>
      </c>
      <c r="G354" s="24" t="s">
        <v>1222</v>
      </c>
      <c r="H354" s="24" t="s">
        <v>1137</v>
      </c>
      <c r="I354" s="24" t="s">
        <v>1232</v>
      </c>
      <c r="K354" s="24" t="s">
        <v>1224</v>
      </c>
      <c r="L354" s="24" t="s">
        <v>1225</v>
      </c>
      <c r="M354" s="24" t="str">
        <f t="shared" si="5"/>
        <v>XROPSB02</v>
      </c>
    </row>
    <row r="355" spans="1:13" ht="13.2">
      <c r="A355" s="24" t="s">
        <v>1585</v>
      </c>
      <c r="B355" s="24" t="s">
        <v>1562</v>
      </c>
      <c r="C355" s="24">
        <v>0.4</v>
      </c>
      <c r="D355" s="24">
        <v>1265</v>
      </c>
      <c r="E355" s="24">
        <v>2520</v>
      </c>
      <c r="F355" s="30" t="s">
        <v>1252</v>
      </c>
      <c r="G355" s="24" t="s">
        <v>1222</v>
      </c>
      <c r="H355" s="24" t="s">
        <v>1137</v>
      </c>
      <c r="I355" s="24" t="s">
        <v>1232</v>
      </c>
      <c r="K355" s="24" t="s">
        <v>1224</v>
      </c>
      <c r="L355" s="24" t="s">
        <v>1225</v>
      </c>
      <c r="M355" s="24" t="str">
        <f t="shared" si="5"/>
        <v>XROPSB02</v>
      </c>
    </row>
    <row r="356" spans="1:13" ht="13.2">
      <c r="A356" s="24" t="s">
        <v>1586</v>
      </c>
      <c r="B356" s="24" t="s">
        <v>1562</v>
      </c>
      <c r="C356" s="24">
        <v>0.4</v>
      </c>
      <c r="D356" s="24">
        <v>865</v>
      </c>
      <c r="E356" s="24">
        <v>2200</v>
      </c>
      <c r="F356" s="30" t="s">
        <v>1252</v>
      </c>
      <c r="G356" s="24" t="s">
        <v>1222</v>
      </c>
      <c r="H356" s="24" t="s">
        <v>1380</v>
      </c>
      <c r="I356" s="24" t="s">
        <v>1223</v>
      </c>
      <c r="K356" s="24" t="s">
        <v>1224</v>
      </c>
      <c r="L356" s="24" t="s">
        <v>1339</v>
      </c>
      <c r="M356" s="24" t="str">
        <f t="shared" si="5"/>
        <v>XROPBA23</v>
      </c>
    </row>
    <row r="357" spans="1:13" ht="13.2">
      <c r="A357" s="24" t="s">
        <v>1587</v>
      </c>
      <c r="B357" s="24" t="s">
        <v>1562</v>
      </c>
      <c r="C357" s="24">
        <v>0.4</v>
      </c>
      <c r="D357" s="24">
        <v>815</v>
      </c>
      <c r="E357" s="24">
        <v>2200</v>
      </c>
      <c r="F357" s="30" t="s">
        <v>1252</v>
      </c>
      <c r="G357" s="24" t="s">
        <v>1222</v>
      </c>
      <c r="H357" s="24" t="s">
        <v>1380</v>
      </c>
      <c r="I357" s="24" t="s">
        <v>1223</v>
      </c>
      <c r="K357" s="24" t="s">
        <v>1224</v>
      </c>
      <c r="L357" s="24" t="s">
        <v>1339</v>
      </c>
      <c r="M357" s="24" t="str">
        <f t="shared" si="5"/>
        <v>XROPBA24</v>
      </c>
    </row>
    <row r="358" spans="1:13" ht="13.2">
      <c r="A358" s="24" t="s">
        <v>1588</v>
      </c>
      <c r="B358" s="24" t="s">
        <v>1562</v>
      </c>
      <c r="C358" s="24">
        <v>0.4</v>
      </c>
      <c r="D358" s="24">
        <v>865</v>
      </c>
      <c r="E358" s="24">
        <v>2200</v>
      </c>
      <c r="F358" s="30" t="s">
        <v>1252</v>
      </c>
      <c r="G358" s="24" t="s">
        <v>1222</v>
      </c>
      <c r="H358" s="24" t="s">
        <v>1380</v>
      </c>
      <c r="I358" s="24" t="s">
        <v>1223</v>
      </c>
      <c r="K358" s="24" t="s">
        <v>1224</v>
      </c>
      <c r="L358" s="24" t="s">
        <v>1339</v>
      </c>
      <c r="M358" s="24" t="str">
        <f t="shared" si="5"/>
        <v>XROPBA23</v>
      </c>
    </row>
    <row r="359" spans="1:13" ht="13.2">
      <c r="A359" s="24" t="s">
        <v>1589</v>
      </c>
      <c r="B359" s="24" t="s">
        <v>1562</v>
      </c>
      <c r="C359" s="24">
        <v>0.4</v>
      </c>
      <c r="D359" s="24">
        <v>815</v>
      </c>
      <c r="E359" s="24">
        <v>2200</v>
      </c>
      <c r="F359" s="30" t="s">
        <v>1252</v>
      </c>
      <c r="G359" s="24" t="s">
        <v>1222</v>
      </c>
      <c r="H359" s="24" t="s">
        <v>1380</v>
      </c>
      <c r="I359" s="24" t="s">
        <v>1223</v>
      </c>
      <c r="K359" s="24" t="s">
        <v>1224</v>
      </c>
      <c r="L359" s="24" t="s">
        <v>1339</v>
      </c>
      <c r="M359" s="24" t="str">
        <f t="shared" si="5"/>
        <v>XROPBA24</v>
      </c>
    </row>
    <row r="360" spans="1:13" ht="13.2">
      <c r="A360" s="24" t="s">
        <v>1590</v>
      </c>
      <c r="B360" s="24" t="s">
        <v>1562</v>
      </c>
      <c r="C360" s="24">
        <v>0.4</v>
      </c>
      <c r="D360" s="24">
        <v>1265</v>
      </c>
      <c r="E360" s="24">
        <v>2520</v>
      </c>
      <c r="F360" s="30" t="s">
        <v>1240</v>
      </c>
      <c r="G360" s="24" t="s">
        <v>1222</v>
      </c>
      <c r="H360" s="24" t="s">
        <v>1163</v>
      </c>
      <c r="I360" s="24" t="s">
        <v>1240</v>
      </c>
      <c r="K360" s="24" t="s">
        <v>1224</v>
      </c>
      <c r="L360" s="24" t="s">
        <v>1225</v>
      </c>
      <c r="M360" s="24" t="str">
        <f t="shared" si="5"/>
        <v>XROPZW01</v>
      </c>
    </row>
    <row r="361" spans="1:13" ht="13.2">
      <c r="A361" s="24" t="s">
        <v>1591</v>
      </c>
      <c r="B361" s="24" t="s">
        <v>1562</v>
      </c>
      <c r="C361" s="24">
        <v>0.4</v>
      </c>
      <c r="D361" s="24">
        <v>1265</v>
      </c>
      <c r="E361" s="24">
        <v>2520</v>
      </c>
      <c r="F361" s="30" t="s">
        <v>1240</v>
      </c>
      <c r="G361" s="24" t="s">
        <v>1222</v>
      </c>
      <c r="H361" s="24" t="s">
        <v>1163</v>
      </c>
      <c r="I361" s="24" t="s">
        <v>1240</v>
      </c>
      <c r="K361" s="24" t="s">
        <v>1224</v>
      </c>
      <c r="L361" s="24" t="s">
        <v>1225</v>
      </c>
      <c r="M361" s="24" t="str">
        <f t="shared" si="5"/>
        <v>XROPZW01</v>
      </c>
    </row>
    <row r="362" spans="1:13" ht="13.2">
      <c r="A362" s="24" t="s">
        <v>1592</v>
      </c>
      <c r="B362" s="24" t="s">
        <v>1562</v>
      </c>
      <c r="C362" s="24">
        <v>0.4</v>
      </c>
      <c r="D362" s="24">
        <v>1265</v>
      </c>
      <c r="E362" s="24">
        <v>3100</v>
      </c>
      <c r="F362" s="30" t="s">
        <v>1240</v>
      </c>
      <c r="G362" s="24" t="s">
        <v>1222</v>
      </c>
      <c r="H362" s="24" t="s">
        <v>1163</v>
      </c>
      <c r="I362" s="24" t="s">
        <v>1240</v>
      </c>
      <c r="K362" s="24" t="s">
        <v>1224</v>
      </c>
      <c r="L362" s="24" t="s">
        <v>1225</v>
      </c>
      <c r="M362" s="24" t="str">
        <f t="shared" si="5"/>
        <v>XROPZW02</v>
      </c>
    </row>
    <row r="363" spans="1:13" ht="13.2">
      <c r="A363" s="24" t="s">
        <v>1593</v>
      </c>
      <c r="B363" s="24" t="s">
        <v>1562</v>
      </c>
      <c r="C363" s="24">
        <v>0.4</v>
      </c>
      <c r="D363" s="24">
        <v>1265</v>
      </c>
      <c r="E363" s="24">
        <v>3100</v>
      </c>
      <c r="F363" s="30" t="s">
        <v>1240</v>
      </c>
      <c r="G363" s="24" t="s">
        <v>1222</v>
      </c>
      <c r="H363" s="24" t="s">
        <v>1163</v>
      </c>
      <c r="I363" s="24" t="s">
        <v>1240</v>
      </c>
      <c r="K363" s="24" t="s">
        <v>1224</v>
      </c>
      <c r="L363" s="24" t="s">
        <v>1225</v>
      </c>
      <c r="M363" s="24" t="str">
        <f t="shared" si="5"/>
        <v>XROPZW02</v>
      </c>
    </row>
    <row r="364" spans="1:13" ht="13.2">
      <c r="A364" s="24" t="s">
        <v>1594</v>
      </c>
      <c r="B364" s="24" t="s">
        <v>1562</v>
      </c>
      <c r="C364" s="24">
        <v>0.4</v>
      </c>
      <c r="D364" s="24">
        <v>965</v>
      </c>
      <c r="E364" s="24">
        <v>2200</v>
      </c>
      <c r="F364" s="30" t="s">
        <v>1240</v>
      </c>
      <c r="G364" s="24" t="s">
        <v>1222</v>
      </c>
      <c r="H364" s="24" t="s">
        <v>1163</v>
      </c>
      <c r="I364" s="24" t="s">
        <v>1240</v>
      </c>
      <c r="K364" s="24" t="s">
        <v>1224</v>
      </c>
      <c r="L364" s="24" t="s">
        <v>1409</v>
      </c>
      <c r="M364" s="24" t="str">
        <f t="shared" si="5"/>
        <v>XROPZW03</v>
      </c>
    </row>
    <row r="365" spans="1:13" ht="13.2">
      <c r="A365" s="24" t="s">
        <v>1595</v>
      </c>
      <c r="B365" s="24" t="s">
        <v>1562</v>
      </c>
      <c r="C365" s="24">
        <v>0.4</v>
      </c>
      <c r="D365" s="24">
        <v>965</v>
      </c>
      <c r="E365" s="24">
        <v>2250</v>
      </c>
      <c r="F365" s="30" t="s">
        <v>1240</v>
      </c>
      <c r="G365" s="24" t="s">
        <v>1222</v>
      </c>
      <c r="H365" s="24" t="s">
        <v>1163</v>
      </c>
      <c r="I365" s="24" t="s">
        <v>1240</v>
      </c>
      <c r="K365" s="24" t="s">
        <v>1224</v>
      </c>
      <c r="L365" s="24" t="s">
        <v>1409</v>
      </c>
      <c r="M365" s="24" t="str">
        <f t="shared" si="5"/>
        <v>XROPZW08</v>
      </c>
    </row>
    <row r="366" spans="1:13" ht="13.2">
      <c r="A366" s="24" t="s">
        <v>1596</v>
      </c>
      <c r="B366" s="24" t="s">
        <v>1562</v>
      </c>
      <c r="C366" s="24">
        <v>0.4</v>
      </c>
      <c r="D366" s="24">
        <v>965</v>
      </c>
      <c r="E366" s="24">
        <v>2520</v>
      </c>
      <c r="F366" s="30" t="s">
        <v>1240</v>
      </c>
      <c r="G366" s="24" t="s">
        <v>1222</v>
      </c>
      <c r="H366" s="24" t="s">
        <v>1163</v>
      </c>
      <c r="I366" s="24" t="s">
        <v>1240</v>
      </c>
      <c r="K366" s="24" t="s">
        <v>1224</v>
      </c>
      <c r="L366" s="24" t="s">
        <v>1409</v>
      </c>
      <c r="M366" s="24" t="str">
        <f t="shared" si="5"/>
        <v>XROPZW04</v>
      </c>
    </row>
    <row r="367" spans="1:13" ht="13.2">
      <c r="A367" s="24" t="s">
        <v>1597</v>
      </c>
      <c r="B367" s="24" t="s">
        <v>1562</v>
      </c>
      <c r="C367" s="24">
        <v>0.5</v>
      </c>
      <c r="D367" s="24">
        <v>1265</v>
      </c>
      <c r="E367" s="24">
        <v>2520</v>
      </c>
      <c r="F367" s="30" t="s">
        <v>1221</v>
      </c>
      <c r="G367" s="24" t="s">
        <v>1222</v>
      </c>
      <c r="H367" s="24" t="s">
        <v>1109</v>
      </c>
      <c r="I367" s="24" t="s">
        <v>1223</v>
      </c>
      <c r="K367" s="24" t="s">
        <v>1224</v>
      </c>
      <c r="L367" s="24" t="s">
        <v>1225</v>
      </c>
      <c r="M367" s="24" t="str">
        <f t="shared" si="5"/>
        <v>XROPB101</v>
      </c>
    </row>
    <row r="368" spans="1:13" ht="13.2">
      <c r="A368" s="24" t="s">
        <v>1598</v>
      </c>
      <c r="B368" s="24" t="s">
        <v>1562</v>
      </c>
      <c r="C368" s="24">
        <v>0.5</v>
      </c>
      <c r="D368" s="24">
        <v>1265</v>
      </c>
      <c r="E368" s="24">
        <v>2520</v>
      </c>
      <c r="F368" s="30" t="s">
        <v>1221</v>
      </c>
      <c r="G368" s="24" t="s">
        <v>1222</v>
      </c>
      <c r="H368" s="24" t="s">
        <v>1109</v>
      </c>
      <c r="I368" s="24" t="s">
        <v>1223</v>
      </c>
      <c r="K368" s="24" t="s">
        <v>1224</v>
      </c>
      <c r="L368" s="24" t="s">
        <v>1225</v>
      </c>
      <c r="M368" s="24" t="str">
        <f t="shared" si="5"/>
        <v>XROPB101</v>
      </c>
    </row>
    <row r="369" spans="1:13" ht="13.2">
      <c r="A369" s="24" t="s">
        <v>1599</v>
      </c>
      <c r="B369" s="24" t="s">
        <v>1562</v>
      </c>
      <c r="C369" s="24">
        <v>0.5</v>
      </c>
      <c r="D369" s="24">
        <v>1265</v>
      </c>
      <c r="E369" s="24">
        <v>2520</v>
      </c>
      <c r="F369" s="30" t="s">
        <v>1221</v>
      </c>
      <c r="G369" s="24" t="s">
        <v>1222</v>
      </c>
      <c r="H369" s="24" t="s">
        <v>1109</v>
      </c>
      <c r="I369" s="24" t="s">
        <v>1230</v>
      </c>
      <c r="K369" s="24" t="s">
        <v>1224</v>
      </c>
      <c r="L369" s="24" t="s">
        <v>1225</v>
      </c>
      <c r="M369" s="24" t="str">
        <f t="shared" si="5"/>
        <v>XROPM101</v>
      </c>
    </row>
    <row r="370" spans="1:13" ht="13.2">
      <c r="A370" s="24" t="s">
        <v>263</v>
      </c>
      <c r="B370" s="24" t="s">
        <v>1562</v>
      </c>
      <c r="C370" s="24">
        <v>0.5</v>
      </c>
      <c r="D370" s="24">
        <v>1265</v>
      </c>
      <c r="E370" s="24">
        <v>2520</v>
      </c>
      <c r="F370" s="30" t="s">
        <v>1221</v>
      </c>
      <c r="G370" s="24" t="s">
        <v>1222</v>
      </c>
      <c r="H370" s="24" t="s">
        <v>1109</v>
      </c>
      <c r="I370" s="24" t="s">
        <v>1230</v>
      </c>
      <c r="K370" s="24" t="s">
        <v>1224</v>
      </c>
      <c r="L370" s="24" t="s">
        <v>1225</v>
      </c>
      <c r="M370" s="24" t="str">
        <f t="shared" si="5"/>
        <v>XROPM101</v>
      </c>
    </row>
    <row r="371" spans="1:13" ht="13.2">
      <c r="A371" s="24" t="s">
        <v>1600</v>
      </c>
      <c r="B371" s="24" t="s">
        <v>1562</v>
      </c>
      <c r="C371" s="24">
        <v>0.5</v>
      </c>
      <c r="D371" s="24">
        <v>1265</v>
      </c>
      <c r="E371" s="24">
        <v>3100</v>
      </c>
      <c r="F371" s="30" t="s">
        <v>1601</v>
      </c>
      <c r="G371" s="24" t="s">
        <v>1222</v>
      </c>
      <c r="H371" s="24" t="s">
        <v>1109</v>
      </c>
      <c r="I371" s="24" t="s">
        <v>1230</v>
      </c>
      <c r="J371" s="24" t="s">
        <v>1122</v>
      </c>
      <c r="K371" s="24" t="s">
        <v>1224</v>
      </c>
      <c r="L371" s="24" t="s">
        <v>1225</v>
      </c>
      <c r="M371" s="24" t="str">
        <f t="shared" si="5"/>
        <v>XROPM102</v>
      </c>
    </row>
    <row r="372" spans="1:13" ht="13.2">
      <c r="A372" s="24" t="s">
        <v>1602</v>
      </c>
      <c r="B372" s="24" t="s">
        <v>1562</v>
      </c>
      <c r="C372" s="24">
        <v>0.5</v>
      </c>
      <c r="D372" s="24">
        <v>1265</v>
      </c>
      <c r="E372" s="24">
        <v>3100</v>
      </c>
      <c r="F372" s="24" t="s">
        <v>1601</v>
      </c>
      <c r="G372" s="24" t="s">
        <v>1222</v>
      </c>
      <c r="H372" s="24" t="s">
        <v>1109</v>
      </c>
      <c r="I372" s="24" t="s">
        <v>1230</v>
      </c>
      <c r="J372" s="24" t="s">
        <v>1122</v>
      </c>
      <c r="K372" s="24" t="s">
        <v>1224</v>
      </c>
      <c r="L372" s="24" t="s">
        <v>1225</v>
      </c>
      <c r="M372" s="24" t="str">
        <f t="shared" si="5"/>
        <v>XROPM102</v>
      </c>
    </row>
    <row r="373" spans="1:13" ht="13.2">
      <c r="A373" s="24" t="s">
        <v>1603</v>
      </c>
      <c r="B373" s="24" t="s">
        <v>1562</v>
      </c>
      <c r="C373" s="24">
        <v>0.5</v>
      </c>
      <c r="D373" s="24">
        <v>965</v>
      </c>
      <c r="E373" s="24">
        <v>3100</v>
      </c>
      <c r="F373" s="30" t="s">
        <v>1604</v>
      </c>
      <c r="G373" s="24" t="s">
        <v>1222</v>
      </c>
      <c r="H373" s="24" t="s">
        <v>1109</v>
      </c>
      <c r="I373" s="24" t="s">
        <v>1230</v>
      </c>
      <c r="K373" s="24" t="s">
        <v>1224</v>
      </c>
      <c r="L373" s="24" t="s">
        <v>1339</v>
      </c>
      <c r="M373" s="24" t="str">
        <f t="shared" si="5"/>
        <v>XROPM103</v>
      </c>
    </row>
    <row r="374" spans="1:13" ht="13.2">
      <c r="A374" s="24" t="s">
        <v>1605</v>
      </c>
      <c r="B374" s="24" t="s">
        <v>1562</v>
      </c>
      <c r="C374" s="24">
        <v>0.5</v>
      </c>
      <c r="D374" s="24">
        <v>965</v>
      </c>
      <c r="E374" s="24">
        <v>3100</v>
      </c>
      <c r="F374" s="30" t="s">
        <v>1604</v>
      </c>
      <c r="G374" s="24" t="s">
        <v>1222</v>
      </c>
      <c r="H374" s="24" t="s">
        <v>1109</v>
      </c>
      <c r="I374" s="24" t="s">
        <v>1230</v>
      </c>
      <c r="K374" s="24" t="s">
        <v>1224</v>
      </c>
      <c r="L374" s="24" t="s">
        <v>1339</v>
      </c>
      <c r="M374" s="24" t="str">
        <f t="shared" si="5"/>
        <v>XROPM103</v>
      </c>
    </row>
    <row r="375" spans="1:13" ht="13.2">
      <c r="A375" s="24" t="s">
        <v>1606</v>
      </c>
      <c r="B375" s="24" t="s">
        <v>1562</v>
      </c>
      <c r="C375" s="24">
        <v>0.5</v>
      </c>
      <c r="D375" s="24">
        <v>1265</v>
      </c>
      <c r="E375" s="24">
        <v>2520</v>
      </c>
      <c r="F375" s="30" t="s">
        <v>1601</v>
      </c>
      <c r="G375" s="24" t="s">
        <v>1222</v>
      </c>
      <c r="H375" s="24" t="s">
        <v>1109</v>
      </c>
      <c r="I375" s="24" t="s">
        <v>1232</v>
      </c>
      <c r="K375" s="24" t="s">
        <v>1224</v>
      </c>
      <c r="L375" s="24" t="s">
        <v>1225</v>
      </c>
      <c r="M375" s="24" t="str">
        <f t="shared" si="5"/>
        <v>XROPS101</v>
      </c>
    </row>
    <row r="376" spans="1:13" ht="13.2">
      <c r="A376" s="24" t="s">
        <v>1607</v>
      </c>
      <c r="B376" s="24" t="s">
        <v>1562</v>
      </c>
      <c r="C376" s="24">
        <v>0.5</v>
      </c>
      <c r="D376" s="24">
        <v>1265</v>
      </c>
      <c r="E376" s="24">
        <v>2520</v>
      </c>
      <c r="F376" s="30" t="s">
        <v>1601</v>
      </c>
      <c r="G376" s="24" t="s">
        <v>1222</v>
      </c>
      <c r="H376" s="24" t="s">
        <v>1109</v>
      </c>
      <c r="I376" s="24" t="s">
        <v>1232</v>
      </c>
      <c r="K376" s="24" t="s">
        <v>1224</v>
      </c>
      <c r="L376" s="24" t="s">
        <v>1225</v>
      </c>
      <c r="M376" s="24" t="str">
        <f t="shared" si="5"/>
        <v>XROPS101</v>
      </c>
    </row>
    <row r="377" spans="1:13" ht="13.2">
      <c r="A377" s="24" t="s">
        <v>1608</v>
      </c>
      <c r="B377" s="24" t="s">
        <v>1562</v>
      </c>
      <c r="C377" s="24">
        <v>0.5</v>
      </c>
      <c r="D377" s="24">
        <v>1265</v>
      </c>
      <c r="E377" s="24">
        <v>2520</v>
      </c>
      <c r="F377" s="30" t="s">
        <v>1601</v>
      </c>
      <c r="G377" s="24" t="s">
        <v>1222</v>
      </c>
      <c r="H377" s="24" t="s">
        <v>1244</v>
      </c>
      <c r="I377" s="24" t="s">
        <v>1223</v>
      </c>
      <c r="J377" s="24" t="s">
        <v>1122</v>
      </c>
      <c r="K377" s="24" t="s">
        <v>1224</v>
      </c>
      <c r="L377" s="24" t="s">
        <v>1225</v>
      </c>
      <c r="M377" s="24" t="str">
        <f t="shared" si="5"/>
        <v>XROPB203</v>
      </c>
    </row>
    <row r="378" spans="1:13" ht="13.2">
      <c r="A378" s="24" t="s">
        <v>1609</v>
      </c>
      <c r="B378" s="24" t="s">
        <v>1562</v>
      </c>
      <c r="C378" s="24">
        <v>0.5</v>
      </c>
      <c r="D378" s="24">
        <v>1265</v>
      </c>
      <c r="E378" s="24">
        <v>2520</v>
      </c>
      <c r="F378" s="30" t="s">
        <v>1601</v>
      </c>
      <c r="G378" s="24" t="s">
        <v>1222</v>
      </c>
      <c r="H378" s="24" t="s">
        <v>1244</v>
      </c>
      <c r="I378" s="24" t="s">
        <v>1223</v>
      </c>
      <c r="J378" s="24" t="s">
        <v>1122</v>
      </c>
      <c r="K378" s="24" t="s">
        <v>1224</v>
      </c>
      <c r="L378" s="24" t="s">
        <v>1225</v>
      </c>
      <c r="M378" s="24" t="str">
        <f t="shared" si="5"/>
        <v>XROPB203</v>
      </c>
    </row>
    <row r="379" spans="1:13" ht="13.2">
      <c r="A379" s="24" t="s">
        <v>1610</v>
      </c>
      <c r="B379" s="24" t="s">
        <v>1562</v>
      </c>
      <c r="C379" s="24">
        <v>0.5</v>
      </c>
      <c r="D379" s="24">
        <v>1265</v>
      </c>
      <c r="E379" s="24">
        <v>3100</v>
      </c>
      <c r="F379" s="30" t="s">
        <v>1601</v>
      </c>
      <c r="G379" s="24" t="s">
        <v>1222</v>
      </c>
      <c r="H379" s="24" t="s">
        <v>1244</v>
      </c>
      <c r="I379" s="24" t="s">
        <v>1223</v>
      </c>
      <c r="J379" s="24" t="s">
        <v>1122</v>
      </c>
      <c r="K379" s="24" t="s">
        <v>1224</v>
      </c>
      <c r="L379" s="24" t="s">
        <v>1225</v>
      </c>
      <c r="M379" s="24" t="str">
        <f t="shared" si="5"/>
        <v>XROPB202</v>
      </c>
    </row>
    <row r="380" spans="1:13" ht="13.2">
      <c r="A380" s="24" t="s">
        <v>1611</v>
      </c>
      <c r="B380" s="24" t="s">
        <v>1562</v>
      </c>
      <c r="C380" s="24">
        <v>0.5</v>
      </c>
      <c r="D380" s="24">
        <v>1265</v>
      </c>
      <c r="E380" s="24">
        <v>3100</v>
      </c>
      <c r="F380" s="30" t="s">
        <v>1601</v>
      </c>
      <c r="G380" s="24" t="s">
        <v>1222</v>
      </c>
      <c r="H380" s="24" t="s">
        <v>1244</v>
      </c>
      <c r="I380" s="24" t="s">
        <v>1223</v>
      </c>
      <c r="J380" s="24" t="s">
        <v>1122</v>
      </c>
      <c r="K380" s="24" t="s">
        <v>1224</v>
      </c>
      <c r="L380" s="24" t="s">
        <v>1225</v>
      </c>
      <c r="M380" s="24" t="str">
        <f t="shared" si="5"/>
        <v>XROPB202</v>
      </c>
    </row>
    <row r="381" spans="1:13" ht="13.2">
      <c r="A381" s="24" t="s">
        <v>1612</v>
      </c>
      <c r="B381" s="24" t="s">
        <v>1562</v>
      </c>
      <c r="C381" s="24">
        <v>0.5</v>
      </c>
      <c r="D381" s="24">
        <v>1265</v>
      </c>
      <c r="E381" s="24">
        <v>2520</v>
      </c>
      <c r="F381" s="30" t="s">
        <v>1221</v>
      </c>
      <c r="G381" s="24" t="s">
        <v>1222</v>
      </c>
      <c r="H381" s="24" t="s">
        <v>1244</v>
      </c>
      <c r="I381" s="24" t="s">
        <v>1230</v>
      </c>
      <c r="K381" s="24" t="s">
        <v>1224</v>
      </c>
      <c r="L381" s="24" t="s">
        <v>1225</v>
      </c>
      <c r="M381" s="24" t="str">
        <f t="shared" si="5"/>
        <v>XROPM201</v>
      </c>
    </row>
    <row r="382" spans="1:13" ht="13.2">
      <c r="A382" s="24" t="s">
        <v>275</v>
      </c>
      <c r="B382" s="24" t="s">
        <v>1562</v>
      </c>
      <c r="C382" s="24">
        <v>0.5</v>
      </c>
      <c r="D382" s="24">
        <v>1265</v>
      </c>
      <c r="E382" s="24">
        <v>2520</v>
      </c>
      <c r="F382" s="30" t="s">
        <v>1221</v>
      </c>
      <c r="G382" s="24" t="s">
        <v>1222</v>
      </c>
      <c r="H382" s="24" t="s">
        <v>1244</v>
      </c>
      <c r="I382" s="24" t="s">
        <v>1230</v>
      </c>
      <c r="K382" s="24" t="s">
        <v>1224</v>
      </c>
      <c r="L382" s="24" t="s">
        <v>1225</v>
      </c>
      <c r="M382" s="24" t="str">
        <f t="shared" si="5"/>
        <v>XROPM201</v>
      </c>
    </row>
    <row r="383" spans="1:13" ht="13.2">
      <c r="A383" s="24" t="s">
        <v>1613</v>
      </c>
      <c r="B383" s="24" t="s">
        <v>1562</v>
      </c>
      <c r="C383" s="24">
        <v>0.5</v>
      </c>
      <c r="D383" s="24">
        <v>50</v>
      </c>
      <c r="E383" s="24">
        <v>99</v>
      </c>
      <c r="F383" s="24">
        <v>0</v>
      </c>
      <c r="G383" s="24" t="s">
        <v>1222</v>
      </c>
      <c r="H383" s="24" t="s">
        <v>1614</v>
      </c>
      <c r="I383" s="24" t="s">
        <v>1240</v>
      </c>
      <c r="J383" s="24" t="s">
        <v>1122</v>
      </c>
      <c r="K383" s="24" t="s">
        <v>1224</v>
      </c>
      <c r="L383" s="24" t="s">
        <v>1615</v>
      </c>
      <c r="M383" s="24" t="str">
        <f t="shared" si="5"/>
        <v>KROPZ201</v>
      </c>
    </row>
    <row r="384" spans="1:13" ht="13.2">
      <c r="A384" s="24" t="s">
        <v>1616</v>
      </c>
      <c r="B384" s="24" t="s">
        <v>1562</v>
      </c>
      <c r="C384" s="24">
        <v>0.5</v>
      </c>
      <c r="D384" s="24">
        <v>50</v>
      </c>
      <c r="E384" s="24">
        <v>99</v>
      </c>
      <c r="F384" s="24">
        <v>0</v>
      </c>
      <c r="G384" s="24" t="s">
        <v>1222</v>
      </c>
      <c r="H384" s="24" t="s">
        <v>1614</v>
      </c>
      <c r="I384" s="24" t="s">
        <v>1240</v>
      </c>
      <c r="K384" s="24" t="s">
        <v>1224</v>
      </c>
      <c r="L384" s="24" t="s">
        <v>1615</v>
      </c>
      <c r="M384" s="24" t="str">
        <f t="shared" si="5"/>
        <v>KROPZ201</v>
      </c>
    </row>
    <row r="385" spans="1:13" ht="13.2">
      <c r="A385" s="24" t="s">
        <v>1617</v>
      </c>
      <c r="B385" s="24" t="s">
        <v>1562</v>
      </c>
      <c r="C385" s="24">
        <v>0.5</v>
      </c>
      <c r="D385" s="24">
        <v>1265</v>
      </c>
      <c r="E385" s="24">
        <v>2520</v>
      </c>
      <c r="F385" s="30" t="s">
        <v>1221</v>
      </c>
      <c r="G385" s="24" t="s">
        <v>1222</v>
      </c>
      <c r="H385" s="24" t="s">
        <v>1250</v>
      </c>
      <c r="I385" s="24" t="s">
        <v>1230</v>
      </c>
      <c r="K385" s="24" t="s">
        <v>1224</v>
      </c>
      <c r="L385" s="24" t="s">
        <v>1225</v>
      </c>
      <c r="M385" s="24" t="str">
        <f t="shared" si="5"/>
        <v>XROPM401</v>
      </c>
    </row>
    <row r="386" spans="1:13" ht="13.2">
      <c r="A386" s="24" t="s">
        <v>1618</v>
      </c>
      <c r="B386" s="24" t="s">
        <v>1562</v>
      </c>
      <c r="C386" s="24">
        <v>0.5</v>
      </c>
      <c r="D386" s="24">
        <v>1265</v>
      </c>
      <c r="E386" s="24">
        <v>2520</v>
      </c>
      <c r="F386" s="30" t="s">
        <v>1221</v>
      </c>
      <c r="G386" s="24" t="s">
        <v>1222</v>
      </c>
      <c r="H386" s="24" t="s">
        <v>1250</v>
      </c>
      <c r="I386" s="24" t="s">
        <v>1230</v>
      </c>
      <c r="K386" s="24" t="s">
        <v>1224</v>
      </c>
      <c r="L386" s="24" t="s">
        <v>1225</v>
      </c>
      <c r="M386" s="24" t="str">
        <f t="shared" ref="M386:M449" si="6">RIGHT(A386,8)</f>
        <v>XROPM401</v>
      </c>
    </row>
    <row r="387" spans="1:13" ht="13.2">
      <c r="A387" s="24" t="s">
        <v>1619</v>
      </c>
      <c r="B387" s="24" t="s">
        <v>1562</v>
      </c>
      <c r="C387" s="24">
        <v>0.5</v>
      </c>
      <c r="D387" s="24">
        <v>38</v>
      </c>
      <c r="E387" s="24">
        <v>87</v>
      </c>
      <c r="F387" s="30" t="s">
        <v>1620</v>
      </c>
      <c r="G387" s="24" t="s">
        <v>1222</v>
      </c>
      <c r="H387" s="24" t="s">
        <v>49</v>
      </c>
      <c r="I387" s="24" t="s">
        <v>1223</v>
      </c>
      <c r="J387" s="24" t="s">
        <v>1122</v>
      </c>
      <c r="K387" s="24" t="s">
        <v>1224</v>
      </c>
      <c r="L387" s="24" t="s">
        <v>1615</v>
      </c>
      <c r="M387" s="24" t="str">
        <f t="shared" si="6"/>
        <v>KROPBA01</v>
      </c>
    </row>
    <row r="388" spans="1:13" ht="13.2">
      <c r="A388" s="24" t="s">
        <v>1621</v>
      </c>
      <c r="B388" s="24" t="s">
        <v>1562</v>
      </c>
      <c r="C388" s="24">
        <v>0.5</v>
      </c>
      <c r="D388" s="24">
        <v>38</v>
      </c>
      <c r="E388" s="24">
        <v>99</v>
      </c>
      <c r="F388" s="24" t="s">
        <v>1620</v>
      </c>
      <c r="G388" s="24" t="s">
        <v>1222</v>
      </c>
      <c r="H388" s="24" t="s">
        <v>49</v>
      </c>
      <c r="I388" s="24" t="s">
        <v>1223</v>
      </c>
      <c r="J388" s="24" t="s">
        <v>1122</v>
      </c>
      <c r="K388" s="24" t="s">
        <v>1224</v>
      </c>
      <c r="L388" s="24" t="s">
        <v>1615</v>
      </c>
      <c r="M388" s="24" t="str">
        <f t="shared" si="6"/>
        <v>KROPBA02</v>
      </c>
    </row>
    <row r="389" spans="1:13" ht="13.2">
      <c r="A389" s="24" t="s">
        <v>1622</v>
      </c>
      <c r="B389" s="24" t="s">
        <v>1562</v>
      </c>
      <c r="C389" s="24">
        <v>0.5</v>
      </c>
      <c r="D389" s="24">
        <v>50</v>
      </c>
      <c r="E389" s="24">
        <v>99</v>
      </c>
      <c r="F389" s="24">
        <v>0</v>
      </c>
      <c r="G389" s="24" t="s">
        <v>1222</v>
      </c>
      <c r="H389" s="24" t="s">
        <v>49</v>
      </c>
      <c r="I389" s="24" t="s">
        <v>1223</v>
      </c>
      <c r="J389" s="24" t="s">
        <v>1122</v>
      </c>
      <c r="K389" s="24" t="s">
        <v>1224</v>
      </c>
      <c r="L389" s="24" t="s">
        <v>1615</v>
      </c>
      <c r="M389" s="24" t="str">
        <f t="shared" si="6"/>
        <v>KROPBA03</v>
      </c>
    </row>
    <row r="390" spans="1:13" ht="13.2">
      <c r="A390" s="24" t="s">
        <v>1623</v>
      </c>
      <c r="B390" s="24" t="s">
        <v>1562</v>
      </c>
      <c r="C390" s="24">
        <v>0.5</v>
      </c>
      <c r="D390" s="24">
        <v>50</v>
      </c>
      <c r="E390" s="24">
        <v>123</v>
      </c>
      <c r="F390" s="24">
        <v>0</v>
      </c>
      <c r="G390" s="24" t="s">
        <v>1222</v>
      </c>
      <c r="H390" s="24" t="s">
        <v>49</v>
      </c>
      <c r="I390" s="24" t="s">
        <v>1223</v>
      </c>
      <c r="J390" s="24" t="s">
        <v>1122</v>
      </c>
      <c r="K390" s="24" t="s">
        <v>1224</v>
      </c>
      <c r="L390" s="24" t="s">
        <v>1615</v>
      </c>
      <c r="M390" s="24" t="str">
        <f t="shared" si="6"/>
        <v>KROPBA04</v>
      </c>
    </row>
    <row r="391" spans="1:13" ht="13.2">
      <c r="A391" s="24" t="s">
        <v>1624</v>
      </c>
      <c r="B391" s="24" t="s">
        <v>1562</v>
      </c>
      <c r="C391" s="24">
        <v>0.5</v>
      </c>
      <c r="D391" s="24">
        <v>1265</v>
      </c>
      <c r="E391" s="24">
        <v>2520</v>
      </c>
      <c r="F391" s="30" t="s">
        <v>1252</v>
      </c>
      <c r="G391" s="24" t="s">
        <v>1222</v>
      </c>
      <c r="H391" s="24" t="s">
        <v>49</v>
      </c>
      <c r="I391" s="24" t="s">
        <v>1223</v>
      </c>
      <c r="K391" s="24" t="s">
        <v>1224</v>
      </c>
      <c r="L391" s="24" t="s">
        <v>1225</v>
      </c>
      <c r="M391" s="24" t="str">
        <f t="shared" si="6"/>
        <v>XROPBA01</v>
      </c>
    </row>
    <row r="392" spans="1:13" ht="13.2">
      <c r="A392" s="24" t="s">
        <v>1625</v>
      </c>
      <c r="B392" s="24" t="s">
        <v>1562</v>
      </c>
      <c r="C392" s="24">
        <v>0.5</v>
      </c>
      <c r="D392" s="24">
        <v>1265</v>
      </c>
      <c r="E392" s="24">
        <v>2520</v>
      </c>
      <c r="F392" s="30" t="s">
        <v>1620</v>
      </c>
      <c r="G392" s="24" t="s">
        <v>1222</v>
      </c>
      <c r="H392" s="24" t="s">
        <v>49</v>
      </c>
      <c r="I392" s="24" t="s">
        <v>1223</v>
      </c>
      <c r="J392" s="24" t="s">
        <v>1122</v>
      </c>
      <c r="K392" s="24" t="s">
        <v>1224</v>
      </c>
      <c r="L392" s="24" t="s">
        <v>1225</v>
      </c>
      <c r="M392" s="24" t="str">
        <f t="shared" si="6"/>
        <v>XROPBA14</v>
      </c>
    </row>
    <row r="393" spans="1:13" ht="13.2">
      <c r="A393" s="24" t="s">
        <v>1626</v>
      </c>
      <c r="B393" s="24" t="s">
        <v>1562</v>
      </c>
      <c r="C393" s="24">
        <v>0.5</v>
      </c>
      <c r="D393" s="24">
        <v>1265</v>
      </c>
      <c r="E393" s="24">
        <v>2520</v>
      </c>
      <c r="F393" s="30" t="s">
        <v>1252</v>
      </c>
      <c r="G393" s="24" t="s">
        <v>1222</v>
      </c>
      <c r="H393" s="24" t="s">
        <v>49</v>
      </c>
      <c r="I393" s="24" t="s">
        <v>1223</v>
      </c>
      <c r="K393" s="24" t="s">
        <v>1224</v>
      </c>
      <c r="L393" s="24" t="s">
        <v>1225</v>
      </c>
      <c r="M393" s="24" t="str">
        <f t="shared" si="6"/>
        <v>XROPBA01</v>
      </c>
    </row>
    <row r="394" spans="1:13" ht="13.2">
      <c r="A394" s="24" t="s">
        <v>1627</v>
      </c>
      <c r="B394" s="24" t="s">
        <v>1562</v>
      </c>
      <c r="C394" s="24">
        <v>0.5</v>
      </c>
      <c r="D394" s="24">
        <v>1265</v>
      </c>
      <c r="E394" s="24">
        <v>2520</v>
      </c>
      <c r="F394" s="30" t="s">
        <v>1620</v>
      </c>
      <c r="G394" s="24" t="s">
        <v>1222</v>
      </c>
      <c r="H394" s="24" t="s">
        <v>49</v>
      </c>
      <c r="I394" s="24" t="s">
        <v>1223</v>
      </c>
      <c r="J394" s="24" t="s">
        <v>1122</v>
      </c>
      <c r="K394" s="24" t="s">
        <v>1224</v>
      </c>
      <c r="L394" s="24" t="s">
        <v>1225</v>
      </c>
      <c r="M394" s="24" t="str">
        <f t="shared" si="6"/>
        <v>XROPBA14</v>
      </c>
    </row>
    <row r="395" spans="1:13" ht="13.2">
      <c r="A395" s="24" t="s">
        <v>1628</v>
      </c>
      <c r="B395" s="24" t="s">
        <v>1562</v>
      </c>
      <c r="C395" s="24">
        <v>0.5</v>
      </c>
      <c r="D395" s="24">
        <v>1265</v>
      </c>
      <c r="E395" s="24">
        <v>3100</v>
      </c>
      <c r="F395" s="30" t="s">
        <v>1620</v>
      </c>
      <c r="G395" s="24" t="s">
        <v>1222</v>
      </c>
      <c r="H395" s="24" t="s">
        <v>49</v>
      </c>
      <c r="I395" s="24" t="s">
        <v>1223</v>
      </c>
      <c r="J395" s="24" t="s">
        <v>1122</v>
      </c>
      <c r="K395" s="24" t="s">
        <v>1224</v>
      </c>
      <c r="L395" s="24" t="s">
        <v>1225</v>
      </c>
      <c r="M395" s="24" t="str">
        <f t="shared" si="6"/>
        <v>XROPBA13</v>
      </c>
    </row>
    <row r="396" spans="1:13" ht="13.2">
      <c r="A396" s="24" t="s">
        <v>1629</v>
      </c>
      <c r="B396" s="24" t="s">
        <v>1562</v>
      </c>
      <c r="C396" s="24">
        <v>0.5</v>
      </c>
      <c r="D396" s="24">
        <v>1265</v>
      </c>
      <c r="E396" s="24">
        <v>3100</v>
      </c>
      <c r="F396" s="30" t="s">
        <v>1620</v>
      </c>
      <c r="G396" s="24" t="s">
        <v>1222</v>
      </c>
      <c r="H396" s="24" t="s">
        <v>49</v>
      </c>
      <c r="I396" s="24" t="s">
        <v>1223</v>
      </c>
      <c r="J396" s="24" t="s">
        <v>1122</v>
      </c>
      <c r="K396" s="24" t="s">
        <v>1224</v>
      </c>
      <c r="L396" s="24" t="s">
        <v>1225</v>
      </c>
      <c r="M396" s="24" t="str">
        <f t="shared" si="6"/>
        <v>XROPBA13</v>
      </c>
    </row>
    <row r="397" spans="1:13" ht="13.2">
      <c r="A397" s="24" t="s">
        <v>1630</v>
      </c>
      <c r="B397" s="24" t="s">
        <v>1562</v>
      </c>
      <c r="C397" s="24">
        <v>0.5</v>
      </c>
      <c r="D397" s="24">
        <v>1265</v>
      </c>
      <c r="E397" s="24">
        <v>2520</v>
      </c>
      <c r="F397" s="30" t="s">
        <v>1252</v>
      </c>
      <c r="G397" s="24" t="s">
        <v>1222</v>
      </c>
      <c r="H397" s="24" t="s">
        <v>1366</v>
      </c>
      <c r="I397" s="24" t="s">
        <v>1223</v>
      </c>
      <c r="K397" s="24" t="s">
        <v>1224</v>
      </c>
      <c r="L397" s="24" t="s">
        <v>1225</v>
      </c>
      <c r="M397" s="24" t="str">
        <f t="shared" si="6"/>
        <v>XROPBA02</v>
      </c>
    </row>
    <row r="398" spans="1:13" ht="13.2">
      <c r="A398" s="24" t="s">
        <v>1631</v>
      </c>
      <c r="B398" s="24" t="s">
        <v>1562</v>
      </c>
      <c r="C398" s="24">
        <v>0.5</v>
      </c>
      <c r="D398" s="24">
        <v>1265</v>
      </c>
      <c r="E398" s="24">
        <v>2520</v>
      </c>
      <c r="F398" s="30" t="s">
        <v>1252</v>
      </c>
      <c r="G398" s="24" t="s">
        <v>1222</v>
      </c>
      <c r="H398" s="24" t="s">
        <v>1366</v>
      </c>
      <c r="I398" s="24" t="s">
        <v>1223</v>
      </c>
      <c r="K398" s="24" t="s">
        <v>1224</v>
      </c>
      <c r="L398" s="24" t="s">
        <v>1225</v>
      </c>
      <c r="M398" s="24" t="str">
        <f t="shared" si="6"/>
        <v>XROPBA02</v>
      </c>
    </row>
    <row r="399" spans="1:13" ht="13.2">
      <c r="A399" s="24" t="s">
        <v>1632</v>
      </c>
      <c r="B399" s="24" t="s">
        <v>1562</v>
      </c>
      <c r="C399" s="24">
        <v>0.5</v>
      </c>
      <c r="D399" s="24">
        <v>50</v>
      </c>
      <c r="E399" s="24">
        <v>99</v>
      </c>
      <c r="F399" s="24">
        <v>0</v>
      </c>
      <c r="G399" s="24" t="s">
        <v>1222</v>
      </c>
      <c r="H399" s="24" t="s">
        <v>1633</v>
      </c>
      <c r="I399" s="24" t="s">
        <v>1223</v>
      </c>
      <c r="J399" s="24" t="s">
        <v>1122</v>
      </c>
      <c r="K399" s="24" t="s">
        <v>1224</v>
      </c>
      <c r="L399" s="24" t="s">
        <v>1615</v>
      </c>
      <c r="M399" s="24" t="str">
        <f t="shared" si="6"/>
        <v>KROPBA05</v>
      </c>
    </row>
    <row r="400" spans="1:13" ht="13.2">
      <c r="A400" s="24" t="s">
        <v>1634</v>
      </c>
      <c r="B400" s="24" t="s">
        <v>1562</v>
      </c>
      <c r="C400" s="24">
        <v>0.5</v>
      </c>
      <c r="D400" s="24">
        <v>50</v>
      </c>
      <c r="E400" s="24">
        <v>99</v>
      </c>
      <c r="F400" s="24">
        <v>0</v>
      </c>
      <c r="G400" s="24" t="s">
        <v>1222</v>
      </c>
      <c r="H400" s="24" t="s">
        <v>1137</v>
      </c>
      <c r="I400" s="24" t="s">
        <v>1223</v>
      </c>
      <c r="J400" s="24" t="s">
        <v>1122</v>
      </c>
      <c r="K400" s="24" t="s">
        <v>1224</v>
      </c>
      <c r="L400" s="24" t="s">
        <v>1615</v>
      </c>
      <c r="M400" s="24" t="str">
        <f t="shared" si="6"/>
        <v>KROPBB01</v>
      </c>
    </row>
    <row r="401" spans="1:13" ht="13.2">
      <c r="A401" s="24" t="s">
        <v>1635</v>
      </c>
      <c r="B401" s="24" t="s">
        <v>1562</v>
      </c>
      <c r="C401" s="24">
        <v>0.5</v>
      </c>
      <c r="D401" s="24">
        <v>1265</v>
      </c>
      <c r="E401" s="24">
        <v>2520</v>
      </c>
      <c r="F401" s="30" t="s">
        <v>1252</v>
      </c>
      <c r="G401" s="24" t="s">
        <v>1222</v>
      </c>
      <c r="H401" s="24" t="s">
        <v>1137</v>
      </c>
      <c r="I401" s="24" t="s">
        <v>1223</v>
      </c>
      <c r="K401" s="24" t="s">
        <v>1224</v>
      </c>
      <c r="L401" s="24" t="s">
        <v>1225</v>
      </c>
      <c r="M401" s="24" t="str">
        <f t="shared" si="6"/>
        <v>XROPBB01</v>
      </c>
    </row>
    <row r="402" spans="1:13" ht="13.2">
      <c r="A402" s="24" t="s">
        <v>274</v>
      </c>
      <c r="B402" s="24" t="s">
        <v>1562</v>
      </c>
      <c r="C402" s="24">
        <v>0.5</v>
      </c>
      <c r="D402" s="24">
        <v>1265</v>
      </c>
      <c r="E402" s="24">
        <v>2520</v>
      </c>
      <c r="F402" s="30" t="s">
        <v>1252</v>
      </c>
      <c r="G402" s="24" t="s">
        <v>1222</v>
      </c>
      <c r="H402" s="24" t="s">
        <v>1137</v>
      </c>
      <c r="I402" s="24" t="s">
        <v>1223</v>
      </c>
      <c r="K402" s="24" t="s">
        <v>1224</v>
      </c>
      <c r="L402" s="24" t="s">
        <v>1225</v>
      </c>
      <c r="M402" s="24" t="str">
        <f t="shared" si="6"/>
        <v>XROPBB01</v>
      </c>
    </row>
    <row r="403" spans="1:13" ht="13.2">
      <c r="A403" s="24" t="s">
        <v>1636</v>
      </c>
      <c r="B403" s="24" t="s">
        <v>1562</v>
      </c>
      <c r="C403" s="24">
        <v>0.5</v>
      </c>
      <c r="D403" s="24">
        <v>1265</v>
      </c>
      <c r="E403" s="24">
        <v>2520</v>
      </c>
      <c r="F403" s="30" t="s">
        <v>1252</v>
      </c>
      <c r="G403" s="24" t="s">
        <v>1222</v>
      </c>
      <c r="H403" s="24" t="s">
        <v>1137</v>
      </c>
      <c r="I403" s="24" t="s">
        <v>1232</v>
      </c>
      <c r="K403" s="24" t="s">
        <v>1224</v>
      </c>
      <c r="L403" s="24" t="s">
        <v>1225</v>
      </c>
      <c r="M403" s="24" t="str">
        <f t="shared" si="6"/>
        <v>XROPSB01</v>
      </c>
    </row>
    <row r="404" spans="1:13" ht="13.2">
      <c r="A404" s="24" t="s">
        <v>262</v>
      </c>
      <c r="B404" s="24" t="s">
        <v>1562</v>
      </c>
      <c r="C404" s="24">
        <v>0.5</v>
      </c>
      <c r="D404" s="24">
        <v>1265</v>
      </c>
      <c r="E404" s="24">
        <v>2520</v>
      </c>
      <c r="F404" s="30" t="s">
        <v>1252</v>
      </c>
      <c r="G404" s="24" t="s">
        <v>1222</v>
      </c>
      <c r="H404" s="24" t="s">
        <v>1137</v>
      </c>
      <c r="I404" s="24" t="s">
        <v>1232</v>
      </c>
      <c r="K404" s="24" t="s">
        <v>1224</v>
      </c>
      <c r="L404" s="24" t="s">
        <v>1225</v>
      </c>
      <c r="M404" s="24" t="str">
        <f t="shared" si="6"/>
        <v>XROPSB01</v>
      </c>
    </row>
    <row r="405" spans="1:13" ht="13.2">
      <c r="A405" s="24" t="s">
        <v>1637</v>
      </c>
      <c r="B405" s="24" t="s">
        <v>1562</v>
      </c>
      <c r="C405" s="24">
        <v>0.5</v>
      </c>
      <c r="D405" s="24">
        <v>1265</v>
      </c>
      <c r="E405" s="24">
        <v>2520</v>
      </c>
      <c r="F405" s="30" t="s">
        <v>1252</v>
      </c>
      <c r="G405" s="24" t="s">
        <v>1222</v>
      </c>
      <c r="H405" s="24" t="s">
        <v>1278</v>
      </c>
      <c r="I405" s="24" t="s">
        <v>1223</v>
      </c>
      <c r="K405" s="24" t="s">
        <v>1224</v>
      </c>
      <c r="L405" s="24" t="s">
        <v>1225</v>
      </c>
      <c r="M405" s="24" t="str">
        <f t="shared" si="6"/>
        <v>XROPBC01</v>
      </c>
    </row>
    <row r="406" spans="1:13" ht="13.2">
      <c r="A406" s="24" t="s">
        <v>1638</v>
      </c>
      <c r="B406" s="24" t="s">
        <v>1562</v>
      </c>
      <c r="C406" s="24">
        <v>0.5</v>
      </c>
      <c r="D406" s="24">
        <v>1265</v>
      </c>
      <c r="E406" s="24">
        <v>2520</v>
      </c>
      <c r="F406" s="30" t="s">
        <v>1252</v>
      </c>
      <c r="G406" s="24" t="s">
        <v>1222</v>
      </c>
      <c r="H406" s="24" t="s">
        <v>1278</v>
      </c>
      <c r="I406" s="24" t="s">
        <v>1223</v>
      </c>
      <c r="K406" s="24" t="s">
        <v>1224</v>
      </c>
      <c r="L406" s="24" t="s">
        <v>1225</v>
      </c>
      <c r="M406" s="24" t="str">
        <f t="shared" si="6"/>
        <v>XROPBC01</v>
      </c>
    </row>
    <row r="407" spans="1:13" ht="13.2">
      <c r="A407" s="24" t="s">
        <v>1639</v>
      </c>
      <c r="B407" s="24" t="s">
        <v>1562</v>
      </c>
      <c r="C407" s="24">
        <v>0.5</v>
      </c>
      <c r="D407" s="24">
        <v>1265</v>
      </c>
      <c r="E407" s="24">
        <v>2520</v>
      </c>
      <c r="F407" s="30" t="s">
        <v>1252</v>
      </c>
      <c r="G407" s="24" t="s">
        <v>1222</v>
      </c>
      <c r="H407" s="24" t="s">
        <v>1278</v>
      </c>
      <c r="I407" s="24" t="s">
        <v>1232</v>
      </c>
      <c r="K407" s="24" t="s">
        <v>1224</v>
      </c>
      <c r="L407" s="24" t="s">
        <v>1225</v>
      </c>
      <c r="M407" s="24" t="str">
        <f t="shared" si="6"/>
        <v>XROPSC01</v>
      </c>
    </row>
    <row r="408" spans="1:13" ht="13.2">
      <c r="A408" s="24" t="s">
        <v>1640</v>
      </c>
      <c r="B408" s="24" t="s">
        <v>1562</v>
      </c>
      <c r="C408" s="24">
        <v>0.5</v>
      </c>
      <c r="D408" s="24">
        <v>1265</v>
      </c>
      <c r="E408" s="24">
        <v>2520</v>
      </c>
      <c r="F408" s="30" t="s">
        <v>1252</v>
      </c>
      <c r="G408" s="24" t="s">
        <v>1222</v>
      </c>
      <c r="H408" s="24" t="s">
        <v>1278</v>
      </c>
      <c r="I408" s="24" t="s">
        <v>1232</v>
      </c>
      <c r="K408" s="24" t="s">
        <v>1224</v>
      </c>
      <c r="L408" s="24" t="s">
        <v>1225</v>
      </c>
      <c r="M408" s="24" t="str">
        <f t="shared" si="6"/>
        <v>XROPSC01</v>
      </c>
    </row>
    <row r="409" spans="1:13" ht="13.2">
      <c r="A409" s="24" t="s">
        <v>1641</v>
      </c>
      <c r="B409" s="24" t="s">
        <v>1562</v>
      </c>
      <c r="C409" s="24">
        <v>0.5</v>
      </c>
      <c r="D409" s="24">
        <v>965</v>
      </c>
      <c r="E409" s="24">
        <v>2200</v>
      </c>
      <c r="F409" s="30" t="s">
        <v>1252</v>
      </c>
      <c r="G409" s="24" t="s">
        <v>1222</v>
      </c>
      <c r="H409" s="24" t="s">
        <v>1380</v>
      </c>
      <c r="I409" s="24" t="s">
        <v>1223</v>
      </c>
      <c r="K409" s="24" t="s">
        <v>1224</v>
      </c>
      <c r="L409" s="24" t="s">
        <v>1339</v>
      </c>
      <c r="M409" s="24" t="str">
        <f t="shared" si="6"/>
        <v>XROPBA05</v>
      </c>
    </row>
    <row r="410" spans="1:13" ht="13.2">
      <c r="A410" s="24" t="s">
        <v>1642</v>
      </c>
      <c r="B410" s="24" t="s">
        <v>1562</v>
      </c>
      <c r="C410" s="24">
        <v>0.5</v>
      </c>
      <c r="D410" s="24">
        <v>660</v>
      </c>
      <c r="E410" s="24">
        <v>2200</v>
      </c>
      <c r="F410" s="30" t="s">
        <v>1252</v>
      </c>
      <c r="G410" s="24" t="s">
        <v>1222</v>
      </c>
      <c r="H410" s="24" t="s">
        <v>1380</v>
      </c>
      <c r="I410" s="24" t="s">
        <v>1223</v>
      </c>
      <c r="K410" s="24" t="s">
        <v>1224</v>
      </c>
      <c r="L410" s="24" t="s">
        <v>1339</v>
      </c>
      <c r="M410" s="24" t="str">
        <f t="shared" si="6"/>
        <v>XROPBA15</v>
      </c>
    </row>
    <row r="411" spans="1:13" ht="13.2">
      <c r="A411" s="24" t="s">
        <v>1643</v>
      </c>
      <c r="B411" s="24" t="s">
        <v>1562</v>
      </c>
      <c r="C411" s="24">
        <v>0.5</v>
      </c>
      <c r="D411" s="24">
        <v>765</v>
      </c>
      <c r="E411" s="24">
        <v>2200</v>
      </c>
      <c r="F411" s="30" t="s">
        <v>1252</v>
      </c>
      <c r="G411" s="24" t="s">
        <v>1222</v>
      </c>
      <c r="H411" s="24" t="s">
        <v>1380</v>
      </c>
      <c r="I411" s="24" t="s">
        <v>1223</v>
      </c>
      <c r="K411" s="24" t="s">
        <v>1224</v>
      </c>
      <c r="L411" s="24" t="s">
        <v>1339</v>
      </c>
      <c r="M411" s="24" t="str">
        <f t="shared" si="6"/>
        <v>XROPBA17</v>
      </c>
    </row>
    <row r="412" spans="1:13" ht="13.2">
      <c r="A412" s="24" t="s">
        <v>1644</v>
      </c>
      <c r="B412" s="24" t="s">
        <v>1562</v>
      </c>
      <c r="C412" s="24">
        <v>0.5</v>
      </c>
      <c r="D412" s="24">
        <v>815</v>
      </c>
      <c r="E412" s="24">
        <v>2200</v>
      </c>
      <c r="F412" s="30" t="s">
        <v>1252</v>
      </c>
      <c r="G412" s="24" t="s">
        <v>1222</v>
      </c>
      <c r="H412" s="24" t="s">
        <v>1380</v>
      </c>
      <c r="I412" s="24" t="s">
        <v>1223</v>
      </c>
      <c r="K412" s="24" t="s">
        <v>1224</v>
      </c>
      <c r="L412" s="24" t="s">
        <v>1339</v>
      </c>
      <c r="M412" s="24" t="str">
        <f t="shared" si="6"/>
        <v>XROPBA18</v>
      </c>
    </row>
    <row r="413" spans="1:13" ht="13.2">
      <c r="A413" s="24" t="s">
        <v>1645</v>
      </c>
      <c r="B413" s="24" t="s">
        <v>1562</v>
      </c>
      <c r="C413" s="24">
        <v>0.5</v>
      </c>
      <c r="D413" s="24">
        <v>865</v>
      </c>
      <c r="E413" s="24">
        <v>2200</v>
      </c>
      <c r="F413" s="30" t="s">
        <v>1252</v>
      </c>
      <c r="G413" s="24" t="s">
        <v>1222</v>
      </c>
      <c r="H413" s="24" t="s">
        <v>1380</v>
      </c>
      <c r="I413" s="24" t="s">
        <v>1223</v>
      </c>
      <c r="K413" s="24" t="s">
        <v>1224</v>
      </c>
      <c r="L413" s="24" t="s">
        <v>1339</v>
      </c>
      <c r="M413" s="24" t="str">
        <f t="shared" si="6"/>
        <v>XROPBA19</v>
      </c>
    </row>
    <row r="414" spans="1:13" ht="13.2">
      <c r="A414" s="24" t="s">
        <v>861</v>
      </c>
      <c r="B414" s="24" t="s">
        <v>1562</v>
      </c>
      <c r="C414" s="24">
        <v>0.5</v>
      </c>
      <c r="D414" s="24">
        <v>965</v>
      </c>
      <c r="E414" s="24">
        <v>2200</v>
      </c>
      <c r="F414" s="30" t="s">
        <v>1252</v>
      </c>
      <c r="G414" s="24" t="s">
        <v>1222</v>
      </c>
      <c r="H414" s="24" t="s">
        <v>1380</v>
      </c>
      <c r="I414" s="24" t="s">
        <v>1223</v>
      </c>
      <c r="K414" s="24" t="s">
        <v>1224</v>
      </c>
      <c r="L414" s="24" t="s">
        <v>1339</v>
      </c>
      <c r="M414" s="24" t="str">
        <f t="shared" si="6"/>
        <v>XROPBA05</v>
      </c>
    </row>
    <row r="415" spans="1:13" ht="13.2">
      <c r="A415" s="24" t="s">
        <v>849</v>
      </c>
      <c r="B415" s="24" t="s">
        <v>1562</v>
      </c>
      <c r="C415" s="24">
        <v>0.5</v>
      </c>
      <c r="D415" s="24">
        <v>660</v>
      </c>
      <c r="E415" s="24">
        <v>2200</v>
      </c>
      <c r="F415" s="30" t="s">
        <v>1252</v>
      </c>
      <c r="G415" s="24" t="s">
        <v>1222</v>
      </c>
      <c r="H415" s="24" t="s">
        <v>1380</v>
      </c>
      <c r="I415" s="24" t="s">
        <v>1223</v>
      </c>
      <c r="K415" s="24" t="s">
        <v>1224</v>
      </c>
      <c r="L415" s="24" t="s">
        <v>1339</v>
      </c>
      <c r="M415" s="24" t="str">
        <f t="shared" si="6"/>
        <v>XROPBA15</v>
      </c>
    </row>
    <row r="416" spans="1:13" ht="13.2">
      <c r="A416" s="24" t="s">
        <v>852</v>
      </c>
      <c r="B416" s="24" t="s">
        <v>1562</v>
      </c>
      <c r="C416" s="24">
        <v>0.5</v>
      </c>
      <c r="D416" s="24">
        <v>765</v>
      </c>
      <c r="E416" s="24">
        <v>2200</v>
      </c>
      <c r="F416" s="30" t="s">
        <v>1252</v>
      </c>
      <c r="G416" s="24" t="s">
        <v>1222</v>
      </c>
      <c r="H416" s="24" t="s">
        <v>1380</v>
      </c>
      <c r="I416" s="24" t="s">
        <v>1223</v>
      </c>
      <c r="K416" s="24" t="s">
        <v>1224</v>
      </c>
      <c r="L416" s="24" t="s">
        <v>1339</v>
      </c>
      <c r="M416" s="24" t="str">
        <f t="shared" si="6"/>
        <v>XROPBA17</v>
      </c>
    </row>
    <row r="417" spans="1:13" ht="13.2">
      <c r="A417" s="24" t="s">
        <v>855</v>
      </c>
      <c r="B417" s="24" t="s">
        <v>1562</v>
      </c>
      <c r="C417" s="24">
        <v>0.5</v>
      </c>
      <c r="D417" s="24">
        <v>815</v>
      </c>
      <c r="E417" s="24">
        <v>2200</v>
      </c>
      <c r="F417" s="30" t="s">
        <v>1252</v>
      </c>
      <c r="G417" s="24" t="s">
        <v>1222</v>
      </c>
      <c r="H417" s="24" t="s">
        <v>1380</v>
      </c>
      <c r="I417" s="24" t="s">
        <v>1223</v>
      </c>
      <c r="K417" s="24" t="s">
        <v>1224</v>
      </c>
      <c r="L417" s="24" t="s">
        <v>1339</v>
      </c>
      <c r="M417" s="24" t="str">
        <f t="shared" si="6"/>
        <v>XROPBA18</v>
      </c>
    </row>
    <row r="418" spans="1:13" ht="13.2">
      <c r="A418" s="24" t="s">
        <v>858</v>
      </c>
      <c r="B418" s="24" t="s">
        <v>1562</v>
      </c>
      <c r="C418" s="24">
        <v>0.5</v>
      </c>
      <c r="D418" s="24">
        <v>865</v>
      </c>
      <c r="E418" s="24">
        <v>2200</v>
      </c>
      <c r="F418" s="30" t="s">
        <v>1252</v>
      </c>
      <c r="G418" s="24" t="s">
        <v>1222</v>
      </c>
      <c r="H418" s="24" t="s">
        <v>1380</v>
      </c>
      <c r="I418" s="24" t="s">
        <v>1223</v>
      </c>
      <c r="K418" s="24" t="s">
        <v>1224</v>
      </c>
      <c r="L418" s="24" t="s">
        <v>1339</v>
      </c>
      <c r="M418" s="24" t="str">
        <f t="shared" si="6"/>
        <v>XROPBA19</v>
      </c>
    </row>
    <row r="419" spans="1:13" ht="13.2">
      <c r="A419" s="24" t="s">
        <v>1646</v>
      </c>
      <c r="B419" s="24" t="s">
        <v>1562</v>
      </c>
      <c r="C419" s="24">
        <v>0.5</v>
      </c>
      <c r="D419" s="24">
        <v>965</v>
      </c>
      <c r="E419" s="24">
        <v>2250</v>
      </c>
      <c r="F419" s="30" t="s">
        <v>1252</v>
      </c>
      <c r="G419" s="24" t="s">
        <v>1222</v>
      </c>
      <c r="H419" s="24" t="s">
        <v>1380</v>
      </c>
      <c r="I419" s="24" t="s">
        <v>1223</v>
      </c>
      <c r="K419" s="24" t="s">
        <v>1224</v>
      </c>
      <c r="L419" s="24" t="s">
        <v>1339</v>
      </c>
      <c r="M419" s="24" t="str">
        <f t="shared" si="6"/>
        <v>XROPBA03</v>
      </c>
    </row>
    <row r="420" spans="1:13" ht="13.2">
      <c r="A420" s="24" t="s">
        <v>1647</v>
      </c>
      <c r="B420" s="24" t="s">
        <v>1562</v>
      </c>
      <c r="C420" s="24">
        <v>0.5</v>
      </c>
      <c r="D420" s="24">
        <v>1265</v>
      </c>
      <c r="E420" s="24">
        <v>2250</v>
      </c>
      <c r="F420" s="30" t="s">
        <v>1252</v>
      </c>
      <c r="G420" s="24" t="s">
        <v>1222</v>
      </c>
      <c r="H420" s="24" t="s">
        <v>1380</v>
      </c>
      <c r="I420" s="24" t="s">
        <v>1223</v>
      </c>
      <c r="K420" s="24" t="s">
        <v>1224</v>
      </c>
      <c r="L420" s="24" t="s">
        <v>1339</v>
      </c>
      <c r="M420" s="24" t="str">
        <f t="shared" si="6"/>
        <v>XROPBA10</v>
      </c>
    </row>
    <row r="421" spans="1:13" ht="13.2">
      <c r="A421" s="24" t="s">
        <v>864</v>
      </c>
      <c r="B421" s="24" t="s">
        <v>1562</v>
      </c>
      <c r="C421" s="24">
        <v>0.5</v>
      </c>
      <c r="D421" s="24">
        <v>965</v>
      </c>
      <c r="E421" s="24">
        <v>2250</v>
      </c>
      <c r="F421" s="30" t="s">
        <v>1252</v>
      </c>
      <c r="G421" s="24" t="s">
        <v>1222</v>
      </c>
      <c r="H421" s="24" t="s">
        <v>1380</v>
      </c>
      <c r="I421" s="24" t="s">
        <v>1223</v>
      </c>
      <c r="K421" s="24" t="s">
        <v>1224</v>
      </c>
      <c r="L421" s="24" t="s">
        <v>1339</v>
      </c>
      <c r="M421" s="24" t="str">
        <f t="shared" si="6"/>
        <v>XROPBA03</v>
      </c>
    </row>
    <row r="422" spans="1:13" ht="13.2">
      <c r="A422" s="24" t="s">
        <v>873</v>
      </c>
      <c r="B422" s="24" t="s">
        <v>1562</v>
      </c>
      <c r="C422" s="24">
        <v>0.5</v>
      </c>
      <c r="D422" s="24">
        <v>1265</v>
      </c>
      <c r="E422" s="24">
        <v>2250</v>
      </c>
      <c r="F422" s="30" t="s">
        <v>1252</v>
      </c>
      <c r="G422" s="24" t="s">
        <v>1222</v>
      </c>
      <c r="H422" s="24" t="s">
        <v>1380</v>
      </c>
      <c r="I422" s="24" t="s">
        <v>1223</v>
      </c>
      <c r="K422" s="24" t="s">
        <v>1224</v>
      </c>
      <c r="L422" s="24" t="s">
        <v>1339</v>
      </c>
      <c r="M422" s="24" t="str">
        <f t="shared" si="6"/>
        <v>XROPBA10</v>
      </c>
    </row>
    <row r="423" spans="1:13" ht="13.2">
      <c r="A423" s="24" t="s">
        <v>1648</v>
      </c>
      <c r="B423" s="24" t="s">
        <v>1562</v>
      </c>
      <c r="C423" s="24">
        <v>0.5</v>
      </c>
      <c r="D423" s="24">
        <v>965</v>
      </c>
      <c r="E423" s="24">
        <v>2520</v>
      </c>
      <c r="F423" s="30" t="s">
        <v>1252</v>
      </c>
      <c r="G423" s="24" t="s">
        <v>1222</v>
      </c>
      <c r="H423" s="24" t="s">
        <v>1380</v>
      </c>
      <c r="I423" s="24" t="s">
        <v>1223</v>
      </c>
      <c r="K423" s="24" t="s">
        <v>1224</v>
      </c>
      <c r="L423" s="24" t="s">
        <v>1339</v>
      </c>
      <c r="M423" s="24" t="str">
        <f t="shared" si="6"/>
        <v>XROPBA04</v>
      </c>
    </row>
    <row r="424" spans="1:13" ht="13.2">
      <c r="A424" s="24" t="s">
        <v>1649</v>
      </c>
      <c r="B424" s="24" t="s">
        <v>1562</v>
      </c>
      <c r="C424" s="24">
        <v>0.5</v>
      </c>
      <c r="D424" s="24">
        <v>1265</v>
      </c>
      <c r="E424" s="24">
        <v>2520</v>
      </c>
      <c r="F424" s="30" t="s">
        <v>1252</v>
      </c>
      <c r="G424" s="24" t="s">
        <v>1222</v>
      </c>
      <c r="H424" s="24" t="s">
        <v>1380</v>
      </c>
      <c r="I424" s="24" t="s">
        <v>1223</v>
      </c>
      <c r="K424" s="24" t="s">
        <v>1224</v>
      </c>
      <c r="L424" s="24" t="s">
        <v>1339</v>
      </c>
      <c r="M424" s="24" t="str">
        <f t="shared" si="6"/>
        <v>XROPBA11</v>
      </c>
    </row>
    <row r="425" spans="1:13" ht="13.2">
      <c r="A425" s="24" t="s">
        <v>1650</v>
      </c>
      <c r="B425" s="24" t="s">
        <v>1562</v>
      </c>
      <c r="C425" s="24">
        <v>0.5</v>
      </c>
      <c r="D425" s="24">
        <v>660</v>
      </c>
      <c r="E425" s="24">
        <v>2520</v>
      </c>
      <c r="F425" s="30" t="s">
        <v>1252</v>
      </c>
      <c r="G425" s="24" t="s">
        <v>1222</v>
      </c>
      <c r="H425" s="24" t="s">
        <v>1380</v>
      </c>
      <c r="I425" s="24" t="s">
        <v>1223</v>
      </c>
      <c r="K425" s="24" t="s">
        <v>1224</v>
      </c>
      <c r="L425" s="24" t="s">
        <v>1339</v>
      </c>
      <c r="M425" s="24" t="str">
        <f t="shared" si="6"/>
        <v>XROPBA16</v>
      </c>
    </row>
    <row r="426" spans="1:13" ht="13.2">
      <c r="A426" s="24" t="s">
        <v>867</v>
      </c>
      <c r="B426" s="24" t="s">
        <v>1562</v>
      </c>
      <c r="C426" s="24">
        <v>0.5</v>
      </c>
      <c r="D426" s="24">
        <v>965</v>
      </c>
      <c r="E426" s="24">
        <v>2520</v>
      </c>
      <c r="F426" s="30" t="s">
        <v>1252</v>
      </c>
      <c r="G426" s="24" t="s">
        <v>1222</v>
      </c>
      <c r="H426" s="24" t="s">
        <v>1380</v>
      </c>
      <c r="I426" s="24" t="s">
        <v>1223</v>
      </c>
      <c r="K426" s="24" t="s">
        <v>1224</v>
      </c>
      <c r="L426" s="24" t="s">
        <v>1339</v>
      </c>
      <c r="M426" s="24" t="str">
        <f t="shared" si="6"/>
        <v>XROPBA04</v>
      </c>
    </row>
    <row r="427" spans="1:13" ht="13.2">
      <c r="A427" s="24" t="s">
        <v>876</v>
      </c>
      <c r="B427" s="24" t="s">
        <v>1562</v>
      </c>
      <c r="C427" s="24">
        <v>0.5</v>
      </c>
      <c r="D427" s="24">
        <v>1265</v>
      </c>
      <c r="E427" s="24">
        <v>2520</v>
      </c>
      <c r="F427" s="30" t="s">
        <v>1252</v>
      </c>
      <c r="G427" s="24" t="s">
        <v>1222</v>
      </c>
      <c r="H427" s="24" t="s">
        <v>1380</v>
      </c>
      <c r="I427" s="24" t="s">
        <v>1223</v>
      </c>
      <c r="K427" s="24" t="s">
        <v>1224</v>
      </c>
      <c r="L427" s="24" t="s">
        <v>1339</v>
      </c>
      <c r="M427" s="24" t="str">
        <f t="shared" si="6"/>
        <v>XROPBA11</v>
      </c>
    </row>
    <row r="428" spans="1:13" ht="13.2">
      <c r="A428" s="24" t="s">
        <v>1651</v>
      </c>
      <c r="B428" s="24" t="s">
        <v>1562</v>
      </c>
      <c r="C428" s="24">
        <v>0.5</v>
      </c>
      <c r="D428" s="24">
        <v>660</v>
      </c>
      <c r="E428" s="24">
        <v>2520</v>
      </c>
      <c r="F428" s="30" t="s">
        <v>1252</v>
      </c>
      <c r="G428" s="24" t="s">
        <v>1222</v>
      </c>
      <c r="H428" s="24" t="s">
        <v>1380</v>
      </c>
      <c r="I428" s="24" t="s">
        <v>1223</v>
      </c>
      <c r="K428" s="24" t="s">
        <v>1224</v>
      </c>
      <c r="L428" s="24" t="s">
        <v>1339</v>
      </c>
      <c r="M428" s="24" t="str">
        <f t="shared" si="6"/>
        <v>XROPBA16</v>
      </c>
    </row>
    <row r="429" spans="1:13" ht="13.2">
      <c r="A429" s="24" t="s">
        <v>1652</v>
      </c>
      <c r="B429" s="24" t="s">
        <v>1562</v>
      </c>
      <c r="C429" s="24">
        <v>0.5</v>
      </c>
      <c r="D429" s="24">
        <v>965</v>
      </c>
      <c r="E429" s="24">
        <v>2800</v>
      </c>
      <c r="F429" s="30" t="s">
        <v>1252</v>
      </c>
      <c r="G429" s="24" t="s">
        <v>1222</v>
      </c>
      <c r="H429" s="24" t="s">
        <v>1380</v>
      </c>
      <c r="I429" s="24" t="s">
        <v>1223</v>
      </c>
      <c r="K429" s="24" t="s">
        <v>1224</v>
      </c>
      <c r="L429" s="24" t="s">
        <v>1339</v>
      </c>
      <c r="M429" s="24" t="str">
        <f t="shared" si="6"/>
        <v>XROPBA06</v>
      </c>
    </row>
    <row r="430" spans="1:13" ht="13.2">
      <c r="A430" s="24" t="s">
        <v>1653</v>
      </c>
      <c r="B430" s="24" t="s">
        <v>1562</v>
      </c>
      <c r="C430" s="24">
        <v>0.5</v>
      </c>
      <c r="D430" s="24">
        <v>1265</v>
      </c>
      <c r="E430" s="24">
        <v>2800</v>
      </c>
      <c r="F430" s="30" t="s">
        <v>1252</v>
      </c>
      <c r="G430" s="24" t="s">
        <v>1222</v>
      </c>
      <c r="H430" s="24" t="s">
        <v>1380</v>
      </c>
      <c r="I430" s="24" t="s">
        <v>1223</v>
      </c>
      <c r="K430" s="24" t="s">
        <v>1224</v>
      </c>
      <c r="L430" s="24" t="s">
        <v>1339</v>
      </c>
      <c r="M430" s="24" t="str">
        <f t="shared" si="6"/>
        <v>XROPBA12</v>
      </c>
    </row>
    <row r="431" spans="1:13" ht="13.2">
      <c r="A431" s="24" t="s">
        <v>1654</v>
      </c>
      <c r="B431" s="24" t="s">
        <v>1562</v>
      </c>
      <c r="C431" s="24">
        <v>0.5</v>
      </c>
      <c r="D431" s="24">
        <v>930</v>
      </c>
      <c r="E431" s="24">
        <v>2800</v>
      </c>
      <c r="F431" s="30" t="s">
        <v>1252</v>
      </c>
      <c r="G431" s="24" t="s">
        <v>1222</v>
      </c>
      <c r="H431" s="24" t="s">
        <v>1385</v>
      </c>
      <c r="I431" s="24" t="s">
        <v>1223</v>
      </c>
      <c r="K431" s="24" t="s">
        <v>1224</v>
      </c>
      <c r="L431" s="24" t="s">
        <v>1339</v>
      </c>
      <c r="M431" s="24" t="str">
        <f t="shared" si="6"/>
        <v>XROPBA51</v>
      </c>
    </row>
    <row r="432" spans="1:13" ht="13.2">
      <c r="A432" s="24" t="s">
        <v>888</v>
      </c>
      <c r="B432" s="24" t="s">
        <v>1562</v>
      </c>
      <c r="C432" s="24">
        <v>0.5</v>
      </c>
      <c r="D432" s="24">
        <v>965</v>
      </c>
      <c r="E432" s="24">
        <v>2800</v>
      </c>
      <c r="F432" s="30" t="s">
        <v>1252</v>
      </c>
      <c r="G432" s="24" t="s">
        <v>1222</v>
      </c>
      <c r="H432" s="24" t="s">
        <v>1380</v>
      </c>
      <c r="I432" s="24" t="s">
        <v>1223</v>
      </c>
      <c r="K432" s="24" t="s">
        <v>1224</v>
      </c>
      <c r="L432" s="24" t="s">
        <v>1339</v>
      </c>
      <c r="M432" s="24" t="str">
        <f t="shared" si="6"/>
        <v>XROPBA06</v>
      </c>
    </row>
    <row r="433" spans="1:13" ht="13.2">
      <c r="A433" s="24" t="s">
        <v>879</v>
      </c>
      <c r="B433" s="24" t="s">
        <v>1562</v>
      </c>
      <c r="C433" s="24">
        <v>0.5</v>
      </c>
      <c r="D433" s="24">
        <v>1265</v>
      </c>
      <c r="E433" s="24">
        <v>2800</v>
      </c>
      <c r="F433" s="30" t="s">
        <v>1252</v>
      </c>
      <c r="G433" s="24" t="s">
        <v>1222</v>
      </c>
      <c r="H433" s="24" t="s">
        <v>1380</v>
      </c>
      <c r="I433" s="24" t="s">
        <v>1223</v>
      </c>
      <c r="K433" s="24" t="s">
        <v>1224</v>
      </c>
      <c r="L433" s="24" t="s">
        <v>1339</v>
      </c>
      <c r="M433" s="24" t="str">
        <f t="shared" si="6"/>
        <v>XROPBA12</v>
      </c>
    </row>
    <row r="434" spans="1:13" ht="13.2">
      <c r="A434" s="24" t="s">
        <v>870</v>
      </c>
      <c r="B434" s="24" t="s">
        <v>1562</v>
      </c>
      <c r="C434" s="24">
        <v>0.5</v>
      </c>
      <c r="D434" s="24">
        <v>930</v>
      </c>
      <c r="E434" s="24">
        <v>2800</v>
      </c>
      <c r="F434" s="30" t="s">
        <v>1252</v>
      </c>
      <c r="G434" s="24" t="s">
        <v>1222</v>
      </c>
      <c r="H434" s="24" t="s">
        <v>1385</v>
      </c>
      <c r="I434" s="24" t="s">
        <v>1223</v>
      </c>
      <c r="K434" s="24" t="s">
        <v>1224</v>
      </c>
      <c r="L434" s="24" t="s">
        <v>1339</v>
      </c>
      <c r="M434" s="24" t="str">
        <f t="shared" si="6"/>
        <v>XROPBA51</v>
      </c>
    </row>
    <row r="435" spans="1:13" ht="13.2">
      <c r="A435" s="24" t="s">
        <v>1655</v>
      </c>
      <c r="B435" s="24" t="s">
        <v>1562</v>
      </c>
      <c r="C435" s="24">
        <v>0.5</v>
      </c>
      <c r="D435" s="24">
        <v>965</v>
      </c>
      <c r="E435" s="24">
        <v>2200</v>
      </c>
      <c r="F435" s="30" t="s">
        <v>1252</v>
      </c>
      <c r="G435" s="24" t="s">
        <v>1222</v>
      </c>
      <c r="H435" s="24" t="s">
        <v>1523</v>
      </c>
      <c r="I435" s="24" t="s">
        <v>1223</v>
      </c>
      <c r="K435" s="24" t="s">
        <v>1224</v>
      </c>
      <c r="L435" s="24" t="s">
        <v>1339</v>
      </c>
      <c r="M435" s="24" t="str">
        <f t="shared" si="6"/>
        <v>XROPBA07</v>
      </c>
    </row>
    <row r="436" spans="1:13" ht="13.2">
      <c r="A436" s="24" t="s">
        <v>1656</v>
      </c>
      <c r="B436" s="24" t="s">
        <v>1562</v>
      </c>
      <c r="C436" s="24">
        <v>0.5</v>
      </c>
      <c r="D436" s="24">
        <v>965</v>
      </c>
      <c r="E436" s="24">
        <v>2200</v>
      </c>
      <c r="F436" s="30" t="s">
        <v>1252</v>
      </c>
      <c r="G436" s="24" t="s">
        <v>1222</v>
      </c>
      <c r="H436" s="24" t="s">
        <v>1523</v>
      </c>
      <c r="I436" s="24" t="s">
        <v>1223</v>
      </c>
      <c r="K436" s="24" t="s">
        <v>1224</v>
      </c>
      <c r="L436" s="24" t="s">
        <v>1339</v>
      </c>
      <c r="M436" s="24" t="str">
        <f t="shared" si="6"/>
        <v>XROPBA07</v>
      </c>
    </row>
    <row r="437" spans="1:13" ht="13.2">
      <c r="A437" s="24" t="s">
        <v>1657</v>
      </c>
      <c r="B437" s="24" t="s">
        <v>1562</v>
      </c>
      <c r="C437" s="24">
        <v>0.5</v>
      </c>
      <c r="D437" s="24">
        <v>965</v>
      </c>
      <c r="E437" s="24">
        <v>2250</v>
      </c>
      <c r="F437" s="30" t="s">
        <v>1252</v>
      </c>
      <c r="G437" s="24" t="s">
        <v>1222</v>
      </c>
      <c r="H437" s="24" t="s">
        <v>1523</v>
      </c>
      <c r="I437" s="24" t="s">
        <v>1223</v>
      </c>
      <c r="K437" s="24" t="s">
        <v>1224</v>
      </c>
      <c r="L437" s="24" t="s">
        <v>1339</v>
      </c>
      <c r="M437" s="24" t="str">
        <f t="shared" si="6"/>
        <v>XROPBA08</v>
      </c>
    </row>
    <row r="438" spans="1:13" ht="13.2">
      <c r="A438" s="24" t="s">
        <v>1658</v>
      </c>
      <c r="B438" s="24" t="s">
        <v>1562</v>
      </c>
      <c r="C438" s="24">
        <v>0.5</v>
      </c>
      <c r="D438" s="24">
        <v>965</v>
      </c>
      <c r="E438" s="24">
        <v>2250</v>
      </c>
      <c r="F438" s="30" t="s">
        <v>1252</v>
      </c>
      <c r="G438" s="24" t="s">
        <v>1222</v>
      </c>
      <c r="H438" s="24" t="s">
        <v>1523</v>
      </c>
      <c r="I438" s="24" t="s">
        <v>1223</v>
      </c>
      <c r="K438" s="24" t="s">
        <v>1224</v>
      </c>
      <c r="L438" s="24" t="s">
        <v>1339</v>
      </c>
      <c r="M438" s="24" t="str">
        <f t="shared" si="6"/>
        <v>XROPBA08</v>
      </c>
    </row>
    <row r="439" spans="1:13" ht="13.2">
      <c r="A439" s="24" t="s">
        <v>1659</v>
      </c>
      <c r="B439" s="24" t="s">
        <v>1562</v>
      </c>
      <c r="C439" s="24">
        <v>0.5</v>
      </c>
      <c r="D439" s="24">
        <v>965</v>
      </c>
      <c r="E439" s="24">
        <v>2520</v>
      </c>
      <c r="F439" s="30" t="s">
        <v>1252</v>
      </c>
      <c r="G439" s="24" t="s">
        <v>1222</v>
      </c>
      <c r="H439" s="24" t="s">
        <v>1523</v>
      </c>
      <c r="I439" s="24" t="s">
        <v>1223</v>
      </c>
      <c r="K439" s="24" t="s">
        <v>1224</v>
      </c>
      <c r="L439" s="24" t="s">
        <v>1339</v>
      </c>
      <c r="M439" s="24" t="str">
        <f t="shared" si="6"/>
        <v>XROPBA09</v>
      </c>
    </row>
    <row r="440" spans="1:13" ht="13.2">
      <c r="A440" s="24" t="s">
        <v>1660</v>
      </c>
      <c r="B440" s="24" t="s">
        <v>1562</v>
      </c>
      <c r="C440" s="24">
        <v>0.5</v>
      </c>
      <c r="D440" s="24">
        <v>965</v>
      </c>
      <c r="E440" s="24">
        <v>2520</v>
      </c>
      <c r="F440" s="30" t="s">
        <v>1252</v>
      </c>
      <c r="G440" s="24" t="s">
        <v>1222</v>
      </c>
      <c r="H440" s="24" t="s">
        <v>1523</v>
      </c>
      <c r="I440" s="24" t="s">
        <v>1223</v>
      </c>
      <c r="K440" s="24" t="s">
        <v>1224</v>
      </c>
      <c r="L440" s="24" t="s">
        <v>1339</v>
      </c>
      <c r="M440" s="24" t="str">
        <f t="shared" si="6"/>
        <v>XROPBA09</v>
      </c>
    </row>
    <row r="441" spans="1:13" ht="13.2">
      <c r="A441" s="24" t="s">
        <v>1661</v>
      </c>
      <c r="B441" s="24" t="s">
        <v>1562</v>
      </c>
      <c r="C441" s="24">
        <v>0.5</v>
      </c>
      <c r="D441" s="24">
        <v>50</v>
      </c>
      <c r="E441" s="24">
        <v>123</v>
      </c>
      <c r="F441" s="24">
        <v>0</v>
      </c>
      <c r="G441" s="24" t="s">
        <v>1222</v>
      </c>
      <c r="H441" s="24" t="s">
        <v>1662</v>
      </c>
      <c r="I441" s="24" t="s">
        <v>1240</v>
      </c>
      <c r="J441" s="24" t="s">
        <v>1122</v>
      </c>
      <c r="K441" s="24" t="s">
        <v>1224</v>
      </c>
      <c r="L441" s="24" t="s">
        <v>1615</v>
      </c>
      <c r="M441" s="24" t="str">
        <f t="shared" si="6"/>
        <v>KROPZS01</v>
      </c>
    </row>
    <row r="442" spans="1:13" ht="13.2">
      <c r="A442" s="24" t="s">
        <v>1663</v>
      </c>
      <c r="B442" s="24" t="s">
        <v>1562</v>
      </c>
      <c r="C442" s="24">
        <v>0.5</v>
      </c>
      <c r="D442" s="24">
        <v>1265</v>
      </c>
      <c r="E442" s="24">
        <v>2520</v>
      </c>
      <c r="F442" s="30" t="s">
        <v>1240</v>
      </c>
      <c r="G442" s="24" t="s">
        <v>1222</v>
      </c>
      <c r="H442" s="24" t="s">
        <v>1163</v>
      </c>
      <c r="I442" s="24" t="s">
        <v>1240</v>
      </c>
      <c r="K442" s="24" t="s">
        <v>1224</v>
      </c>
      <c r="L442" s="24" t="s">
        <v>1225</v>
      </c>
      <c r="M442" s="24" t="str">
        <f t="shared" si="6"/>
        <v>XROPZW09</v>
      </c>
    </row>
    <row r="443" spans="1:13" ht="13.2">
      <c r="A443" s="24" t="s">
        <v>1664</v>
      </c>
      <c r="B443" s="24" t="s">
        <v>1562</v>
      </c>
      <c r="C443" s="24">
        <v>0.5</v>
      </c>
      <c r="D443" s="24">
        <v>965</v>
      </c>
      <c r="E443" s="24">
        <v>2200</v>
      </c>
      <c r="F443" s="30" t="s">
        <v>1240</v>
      </c>
      <c r="G443" s="24" t="s">
        <v>1222</v>
      </c>
      <c r="H443" s="24" t="s">
        <v>1163</v>
      </c>
      <c r="I443" s="24" t="s">
        <v>1240</v>
      </c>
      <c r="K443" s="24" t="s">
        <v>1224</v>
      </c>
      <c r="L443" s="24" t="s">
        <v>1409</v>
      </c>
      <c r="M443" s="24" t="str">
        <f t="shared" si="6"/>
        <v>XROPZW05</v>
      </c>
    </row>
    <row r="444" spans="1:13" ht="13.2">
      <c r="A444" s="24" t="s">
        <v>1665</v>
      </c>
      <c r="B444" s="24" t="s">
        <v>1562</v>
      </c>
      <c r="C444" s="24">
        <v>0.5</v>
      </c>
      <c r="D444" s="24">
        <v>965</v>
      </c>
      <c r="E444" s="24">
        <v>2250</v>
      </c>
      <c r="F444" s="30" t="s">
        <v>1240</v>
      </c>
      <c r="G444" s="24" t="s">
        <v>1222</v>
      </c>
      <c r="H444" s="24" t="s">
        <v>1163</v>
      </c>
      <c r="I444" s="24" t="s">
        <v>1240</v>
      </c>
      <c r="K444" s="24" t="s">
        <v>1224</v>
      </c>
      <c r="L444" s="24" t="s">
        <v>1409</v>
      </c>
      <c r="M444" s="24" t="str">
        <f t="shared" si="6"/>
        <v>XROPZW07</v>
      </c>
    </row>
    <row r="445" spans="1:13" ht="13.2">
      <c r="A445" s="24" t="s">
        <v>1666</v>
      </c>
      <c r="B445" s="24" t="s">
        <v>1562</v>
      </c>
      <c r="C445" s="24">
        <v>0.5</v>
      </c>
      <c r="D445" s="24">
        <v>965</v>
      </c>
      <c r="E445" s="24">
        <v>2520</v>
      </c>
      <c r="F445" s="30" t="s">
        <v>1240</v>
      </c>
      <c r="G445" s="24" t="s">
        <v>1222</v>
      </c>
      <c r="H445" s="24" t="s">
        <v>1163</v>
      </c>
      <c r="I445" s="24" t="s">
        <v>1240</v>
      </c>
      <c r="K445" s="24" t="s">
        <v>1224</v>
      </c>
      <c r="L445" s="24" t="s">
        <v>1409</v>
      </c>
      <c r="M445" s="24" t="str">
        <f t="shared" si="6"/>
        <v>XROPZW06</v>
      </c>
    </row>
    <row r="446" spans="1:13" ht="13.2">
      <c r="A446" s="24" t="s">
        <v>1667</v>
      </c>
      <c r="B446" s="24" t="s">
        <v>1562</v>
      </c>
      <c r="C446" s="24">
        <v>0.5</v>
      </c>
      <c r="D446" s="24">
        <v>1265</v>
      </c>
      <c r="E446" s="24">
        <v>2520</v>
      </c>
      <c r="F446" s="30" t="s">
        <v>1221</v>
      </c>
      <c r="G446" s="24" t="s">
        <v>1296</v>
      </c>
      <c r="H446" s="24" t="s">
        <v>1109</v>
      </c>
      <c r="I446" s="24" t="s">
        <v>1297</v>
      </c>
      <c r="K446" s="24" t="s">
        <v>1224</v>
      </c>
      <c r="L446" s="24" t="s">
        <v>1225</v>
      </c>
      <c r="M446" s="24" t="str">
        <f t="shared" si="6"/>
        <v>XRORW101</v>
      </c>
    </row>
    <row r="447" spans="1:13" ht="13.2">
      <c r="A447" s="24" t="s">
        <v>267</v>
      </c>
      <c r="B447" s="24" t="s">
        <v>1562</v>
      </c>
      <c r="C447" s="24">
        <v>0.5</v>
      </c>
      <c r="D447" s="24">
        <v>1265</v>
      </c>
      <c r="E447" s="24">
        <v>2520</v>
      </c>
      <c r="F447" s="30" t="s">
        <v>1221</v>
      </c>
      <c r="G447" s="24" t="s">
        <v>1296</v>
      </c>
      <c r="H447" s="24" t="s">
        <v>1109</v>
      </c>
      <c r="I447" s="24" t="s">
        <v>1297</v>
      </c>
      <c r="K447" s="24" t="s">
        <v>1224</v>
      </c>
      <c r="L447" s="24" t="s">
        <v>1225</v>
      </c>
      <c r="M447" s="24" t="str">
        <f t="shared" si="6"/>
        <v>XRORW101</v>
      </c>
    </row>
    <row r="448" spans="1:13" ht="13.2">
      <c r="A448" s="24" t="s">
        <v>1668</v>
      </c>
      <c r="B448" s="24" t="s">
        <v>1562</v>
      </c>
      <c r="C448" s="24">
        <v>0.5</v>
      </c>
      <c r="D448" s="24">
        <v>1265</v>
      </c>
      <c r="E448" s="24">
        <v>2520</v>
      </c>
      <c r="F448" s="30" t="s">
        <v>1221</v>
      </c>
      <c r="G448" s="24" t="s">
        <v>1296</v>
      </c>
      <c r="H448" s="24" t="s">
        <v>1244</v>
      </c>
      <c r="I448" s="24" t="s">
        <v>1230</v>
      </c>
      <c r="K448" s="24" t="s">
        <v>1224</v>
      </c>
      <c r="L448" s="24" t="s">
        <v>1225</v>
      </c>
      <c r="M448" s="24" t="str">
        <f t="shared" si="6"/>
        <v>XRORM201</v>
      </c>
    </row>
    <row r="449" spans="1:13" ht="13.2">
      <c r="A449" s="24" t="s">
        <v>278</v>
      </c>
      <c r="B449" s="24" t="s">
        <v>1562</v>
      </c>
      <c r="C449" s="24">
        <v>0.5</v>
      </c>
      <c r="D449" s="24">
        <v>1265</v>
      </c>
      <c r="E449" s="24">
        <v>2520</v>
      </c>
      <c r="F449" s="30" t="s">
        <v>1221</v>
      </c>
      <c r="G449" s="24" t="s">
        <v>1296</v>
      </c>
      <c r="H449" s="24" t="s">
        <v>1244</v>
      </c>
      <c r="I449" s="24" t="s">
        <v>1230</v>
      </c>
      <c r="K449" s="24" t="s">
        <v>1224</v>
      </c>
      <c r="L449" s="24" t="s">
        <v>1225</v>
      </c>
      <c r="M449" s="24" t="str">
        <f t="shared" si="6"/>
        <v>XRORM201</v>
      </c>
    </row>
    <row r="450" spans="1:13" ht="13.2">
      <c r="A450" s="24" t="s">
        <v>1669</v>
      </c>
      <c r="B450" s="24" t="s">
        <v>1562</v>
      </c>
      <c r="C450" s="24">
        <v>0.5</v>
      </c>
      <c r="D450" s="24">
        <v>1265</v>
      </c>
      <c r="E450" s="24">
        <v>2520</v>
      </c>
      <c r="F450" s="30" t="s">
        <v>1221</v>
      </c>
      <c r="G450" s="24" t="s">
        <v>1296</v>
      </c>
      <c r="H450" s="24" t="s">
        <v>1244</v>
      </c>
      <c r="I450" s="24" t="s">
        <v>1297</v>
      </c>
      <c r="K450" s="24" t="s">
        <v>1224</v>
      </c>
      <c r="L450" s="24" t="s">
        <v>1225</v>
      </c>
      <c r="M450" s="24" t="str">
        <f t="shared" ref="M450:M513" si="7">RIGHT(A450,8)</f>
        <v>XRORW202</v>
      </c>
    </row>
    <row r="451" spans="1:13" ht="13.2">
      <c r="A451" s="24" t="s">
        <v>1670</v>
      </c>
      <c r="B451" s="24" t="s">
        <v>1562</v>
      </c>
      <c r="C451" s="24">
        <v>0.5</v>
      </c>
      <c r="D451" s="24">
        <v>1265</v>
      </c>
      <c r="E451" s="24">
        <v>2520</v>
      </c>
      <c r="F451" s="30" t="s">
        <v>1221</v>
      </c>
      <c r="G451" s="24" t="s">
        <v>1296</v>
      </c>
      <c r="H451" s="24" t="s">
        <v>1244</v>
      </c>
      <c r="I451" s="24" t="s">
        <v>1297</v>
      </c>
      <c r="K451" s="24" t="s">
        <v>1224</v>
      </c>
      <c r="L451" s="24" t="s">
        <v>1225</v>
      </c>
      <c r="M451" s="24" t="str">
        <f t="shared" si="7"/>
        <v>XRORW202</v>
      </c>
    </row>
    <row r="452" spans="1:13" ht="13.2">
      <c r="A452" s="24" t="s">
        <v>1671</v>
      </c>
      <c r="B452" s="24" t="s">
        <v>1562</v>
      </c>
      <c r="C452" s="24">
        <v>0.5</v>
      </c>
      <c r="D452" s="24">
        <v>1265</v>
      </c>
      <c r="E452" s="24">
        <v>2520</v>
      </c>
      <c r="F452" s="30" t="s">
        <v>1252</v>
      </c>
      <c r="G452" s="24" t="s">
        <v>1296</v>
      </c>
      <c r="H452" s="24" t="s">
        <v>49</v>
      </c>
      <c r="I452" s="24" t="s">
        <v>1297</v>
      </c>
      <c r="K452" s="24" t="s">
        <v>1224</v>
      </c>
      <c r="L452" s="24" t="s">
        <v>1225</v>
      </c>
      <c r="M452" s="24" t="str">
        <f t="shared" si="7"/>
        <v>XRORWA01</v>
      </c>
    </row>
    <row r="453" spans="1:13" ht="13.2">
      <c r="A453" s="24" t="s">
        <v>1672</v>
      </c>
      <c r="B453" s="24" t="s">
        <v>1562</v>
      </c>
      <c r="C453" s="24">
        <v>0.5</v>
      </c>
      <c r="D453" s="24">
        <v>1265</v>
      </c>
      <c r="E453" s="24">
        <v>2520</v>
      </c>
      <c r="F453" s="30" t="s">
        <v>1252</v>
      </c>
      <c r="G453" s="24" t="s">
        <v>1296</v>
      </c>
      <c r="H453" s="24" t="s">
        <v>49</v>
      </c>
      <c r="I453" s="24" t="s">
        <v>1297</v>
      </c>
      <c r="K453" s="24" t="s">
        <v>1224</v>
      </c>
      <c r="L453" s="24" t="s">
        <v>1225</v>
      </c>
      <c r="M453" s="24" t="str">
        <f t="shared" si="7"/>
        <v>XRORWA01</v>
      </c>
    </row>
    <row r="454" spans="1:13" ht="13.2">
      <c r="A454" s="24" t="s">
        <v>1673</v>
      </c>
      <c r="B454" s="24" t="s">
        <v>1562</v>
      </c>
      <c r="C454" s="24">
        <v>0.5</v>
      </c>
      <c r="D454" s="24">
        <v>1265</v>
      </c>
      <c r="E454" s="24">
        <v>2520</v>
      </c>
      <c r="F454" s="30" t="s">
        <v>1252</v>
      </c>
      <c r="G454" s="24" t="s">
        <v>1296</v>
      </c>
      <c r="H454" s="24" t="s">
        <v>1137</v>
      </c>
      <c r="I454" s="24" t="s">
        <v>1232</v>
      </c>
      <c r="K454" s="24" t="s">
        <v>1224</v>
      </c>
      <c r="L454" s="24" t="s">
        <v>1225</v>
      </c>
      <c r="M454" s="24" t="str">
        <f t="shared" si="7"/>
        <v>XRORSB01</v>
      </c>
    </row>
    <row r="455" spans="1:13" ht="13.2">
      <c r="A455" s="24" t="s">
        <v>1674</v>
      </c>
      <c r="B455" s="24" t="s">
        <v>1562</v>
      </c>
      <c r="C455" s="24">
        <v>0.5</v>
      </c>
      <c r="D455" s="24">
        <v>1265</v>
      </c>
      <c r="E455" s="24">
        <v>2520</v>
      </c>
      <c r="F455" s="30" t="s">
        <v>1252</v>
      </c>
      <c r="G455" s="24" t="s">
        <v>1296</v>
      </c>
      <c r="H455" s="24" t="s">
        <v>1137</v>
      </c>
      <c r="I455" s="24" t="s">
        <v>1232</v>
      </c>
      <c r="K455" s="24" t="s">
        <v>1224</v>
      </c>
      <c r="L455" s="24" t="s">
        <v>1225</v>
      </c>
      <c r="M455" s="24" t="str">
        <f t="shared" si="7"/>
        <v>XRORSB01</v>
      </c>
    </row>
    <row r="456" spans="1:13" ht="13.2">
      <c r="A456" s="24" t="s">
        <v>1675</v>
      </c>
      <c r="B456" s="24" t="s">
        <v>1562</v>
      </c>
      <c r="C456" s="24">
        <v>0.5</v>
      </c>
      <c r="D456" s="24">
        <v>1265</v>
      </c>
      <c r="E456" s="24">
        <v>2520</v>
      </c>
      <c r="F456" s="30" t="s">
        <v>1252</v>
      </c>
      <c r="G456" s="24" t="s">
        <v>1296</v>
      </c>
      <c r="H456" s="24" t="s">
        <v>1137</v>
      </c>
      <c r="I456" s="24" t="s">
        <v>1297</v>
      </c>
      <c r="K456" s="24" t="s">
        <v>1224</v>
      </c>
      <c r="L456" s="24" t="s">
        <v>1225</v>
      </c>
      <c r="M456" s="24" t="str">
        <f t="shared" si="7"/>
        <v>XRORWB01</v>
      </c>
    </row>
    <row r="457" spans="1:13" ht="13.2">
      <c r="A457" s="24" t="s">
        <v>266</v>
      </c>
      <c r="B457" s="24" t="s">
        <v>1562</v>
      </c>
      <c r="C457" s="24">
        <v>0.5</v>
      </c>
      <c r="D457" s="24">
        <v>1265</v>
      </c>
      <c r="E457" s="24">
        <v>2520</v>
      </c>
      <c r="F457" s="30" t="s">
        <v>1252</v>
      </c>
      <c r="G457" s="24" t="s">
        <v>1296</v>
      </c>
      <c r="H457" s="24" t="s">
        <v>1137</v>
      </c>
      <c r="I457" s="24" t="s">
        <v>1297</v>
      </c>
      <c r="K457" s="24" t="s">
        <v>1224</v>
      </c>
      <c r="L457" s="24" t="s">
        <v>1225</v>
      </c>
      <c r="M457" s="24" t="str">
        <f t="shared" si="7"/>
        <v>XRORWB01</v>
      </c>
    </row>
    <row r="458" spans="1:13" ht="13.2">
      <c r="A458" s="24" t="s">
        <v>1676</v>
      </c>
      <c r="B458" s="24" t="s">
        <v>1562</v>
      </c>
      <c r="C458" s="24">
        <v>0.5</v>
      </c>
      <c r="D458" s="24">
        <v>1265</v>
      </c>
      <c r="E458" s="24">
        <v>2520</v>
      </c>
      <c r="F458" s="30" t="s">
        <v>1252</v>
      </c>
      <c r="G458" s="24" t="s">
        <v>1296</v>
      </c>
      <c r="H458" s="24" t="s">
        <v>1278</v>
      </c>
      <c r="I458" s="24" t="s">
        <v>1297</v>
      </c>
      <c r="K458" s="24" t="s">
        <v>1224</v>
      </c>
      <c r="L458" s="24" t="s">
        <v>1225</v>
      </c>
      <c r="M458" s="24" t="str">
        <f t="shared" si="7"/>
        <v>XRORWC01</v>
      </c>
    </row>
    <row r="459" spans="1:13" ht="13.2">
      <c r="A459" s="24" t="s">
        <v>1677</v>
      </c>
      <c r="B459" s="24" t="s">
        <v>1562</v>
      </c>
      <c r="C459" s="24">
        <v>0.5</v>
      </c>
      <c r="D459" s="24">
        <v>1265</v>
      </c>
      <c r="E459" s="24">
        <v>2520</v>
      </c>
      <c r="F459" s="30" t="s">
        <v>1252</v>
      </c>
      <c r="G459" s="24" t="s">
        <v>1296</v>
      </c>
      <c r="H459" s="24" t="s">
        <v>1278</v>
      </c>
      <c r="I459" s="24" t="s">
        <v>1297</v>
      </c>
      <c r="K459" s="24" t="s">
        <v>1224</v>
      </c>
      <c r="L459" s="24" t="s">
        <v>1225</v>
      </c>
      <c r="M459" s="24" t="str">
        <f t="shared" si="7"/>
        <v>XRORWC01</v>
      </c>
    </row>
    <row r="460" spans="1:13" ht="13.2">
      <c r="A460" s="24" t="s">
        <v>1678</v>
      </c>
      <c r="B460" s="24" t="s">
        <v>1562</v>
      </c>
      <c r="C460" s="24">
        <v>0.5</v>
      </c>
      <c r="D460" s="24">
        <v>1265</v>
      </c>
      <c r="E460" s="24">
        <v>2520</v>
      </c>
      <c r="F460" s="30" t="s">
        <v>1221</v>
      </c>
      <c r="G460" s="24" t="s">
        <v>1679</v>
      </c>
      <c r="H460" s="24" t="s">
        <v>1109</v>
      </c>
      <c r="I460" s="24" t="s">
        <v>1230</v>
      </c>
      <c r="K460" s="24" t="s">
        <v>1224</v>
      </c>
      <c r="L460" s="24" t="s">
        <v>1225</v>
      </c>
      <c r="M460" s="24" t="str">
        <f t="shared" si="7"/>
        <v>XROFM101</v>
      </c>
    </row>
    <row r="461" spans="1:13" ht="13.2">
      <c r="A461" s="24" t="s">
        <v>1680</v>
      </c>
      <c r="B461" s="24" t="s">
        <v>1562</v>
      </c>
      <c r="C461" s="24">
        <v>0.5</v>
      </c>
      <c r="D461" s="24">
        <v>1265</v>
      </c>
      <c r="E461" s="24">
        <v>2520</v>
      </c>
      <c r="F461" s="30" t="s">
        <v>1221</v>
      </c>
      <c r="G461" s="24" t="s">
        <v>1679</v>
      </c>
      <c r="H461" s="24" t="s">
        <v>1109</v>
      </c>
      <c r="I461" s="24" t="s">
        <v>1230</v>
      </c>
      <c r="K461" s="24" t="s">
        <v>1224</v>
      </c>
      <c r="L461" s="24" t="s">
        <v>1225</v>
      </c>
      <c r="M461" s="24" t="str">
        <f t="shared" si="7"/>
        <v>XROFM101</v>
      </c>
    </row>
    <row r="462" spans="1:13" ht="13.2">
      <c r="A462" s="24" t="s">
        <v>1681</v>
      </c>
      <c r="B462" s="24" t="s">
        <v>1562</v>
      </c>
      <c r="C462" s="24">
        <v>0.5</v>
      </c>
      <c r="D462" s="24">
        <v>965</v>
      </c>
      <c r="E462" s="24">
        <v>2250</v>
      </c>
      <c r="F462" s="30" t="s">
        <v>1252</v>
      </c>
      <c r="G462" s="24" t="s">
        <v>1679</v>
      </c>
      <c r="H462" s="24" t="s">
        <v>1385</v>
      </c>
      <c r="I462" s="24" t="s">
        <v>1223</v>
      </c>
      <c r="K462" s="24" t="s">
        <v>1224</v>
      </c>
      <c r="L462" s="24" t="s">
        <v>1339</v>
      </c>
      <c r="M462" s="24" t="str">
        <f t="shared" si="7"/>
        <v>XROFBA01</v>
      </c>
    </row>
    <row r="463" spans="1:13" ht="13.2">
      <c r="A463" s="24" t="s">
        <v>882</v>
      </c>
      <c r="B463" s="24" t="s">
        <v>1562</v>
      </c>
      <c r="C463" s="24">
        <v>0.5</v>
      </c>
      <c r="D463" s="24">
        <v>965</v>
      </c>
      <c r="E463" s="24">
        <v>2250</v>
      </c>
      <c r="F463" s="30" t="s">
        <v>1252</v>
      </c>
      <c r="G463" s="24" t="s">
        <v>1679</v>
      </c>
      <c r="H463" s="24" t="s">
        <v>1385</v>
      </c>
      <c r="I463" s="24" t="s">
        <v>1223</v>
      </c>
      <c r="K463" s="24" t="s">
        <v>1224</v>
      </c>
      <c r="L463" s="24" t="s">
        <v>1339</v>
      </c>
      <c r="M463" s="24" t="str">
        <f t="shared" si="7"/>
        <v>XROFBA01</v>
      </c>
    </row>
    <row r="464" spans="1:13" ht="13.2">
      <c r="A464" s="24" t="s">
        <v>1682</v>
      </c>
      <c r="B464" s="24" t="s">
        <v>1562</v>
      </c>
      <c r="C464" s="24">
        <v>0.5</v>
      </c>
      <c r="D464" s="24">
        <v>965</v>
      </c>
      <c r="E464" s="24">
        <v>2520</v>
      </c>
      <c r="F464" s="30" t="s">
        <v>1252</v>
      </c>
      <c r="G464" s="24" t="s">
        <v>1679</v>
      </c>
      <c r="H464" s="24" t="s">
        <v>1385</v>
      </c>
      <c r="I464" s="24" t="s">
        <v>1223</v>
      </c>
      <c r="K464" s="24" t="s">
        <v>1224</v>
      </c>
      <c r="L464" s="24" t="s">
        <v>1339</v>
      </c>
      <c r="M464" s="24" t="str">
        <f t="shared" si="7"/>
        <v>XROFBA02</v>
      </c>
    </row>
    <row r="465" spans="1:13" ht="13.2">
      <c r="A465" s="24" t="s">
        <v>1683</v>
      </c>
      <c r="B465" s="24" t="s">
        <v>1562</v>
      </c>
      <c r="C465" s="24">
        <v>0.5</v>
      </c>
      <c r="D465" s="24">
        <v>1265</v>
      </c>
      <c r="E465" s="24">
        <v>2520</v>
      </c>
      <c r="F465" s="30" t="s">
        <v>1252</v>
      </c>
      <c r="G465" s="24" t="s">
        <v>1679</v>
      </c>
      <c r="H465" s="24" t="s">
        <v>1385</v>
      </c>
      <c r="I465" s="24" t="s">
        <v>1223</v>
      </c>
      <c r="K465" s="24" t="s">
        <v>1224</v>
      </c>
      <c r="L465" s="24" t="s">
        <v>1339</v>
      </c>
      <c r="M465" s="24" t="str">
        <f t="shared" si="7"/>
        <v>XROFBA03</v>
      </c>
    </row>
    <row r="466" spans="1:13" ht="13.2">
      <c r="A466" s="24" t="s">
        <v>885</v>
      </c>
      <c r="B466" s="24" t="s">
        <v>1562</v>
      </c>
      <c r="C466" s="24">
        <v>0.5</v>
      </c>
      <c r="D466" s="24">
        <v>965</v>
      </c>
      <c r="E466" s="24">
        <v>2520</v>
      </c>
      <c r="F466" s="30" t="s">
        <v>1252</v>
      </c>
      <c r="G466" s="24" t="s">
        <v>1679</v>
      </c>
      <c r="H466" s="24" t="s">
        <v>1385</v>
      </c>
      <c r="I466" s="24" t="s">
        <v>1223</v>
      </c>
      <c r="K466" s="24" t="s">
        <v>1224</v>
      </c>
      <c r="L466" s="24" t="s">
        <v>1339</v>
      </c>
      <c r="M466" s="24" t="str">
        <f t="shared" si="7"/>
        <v>XROFBA02</v>
      </c>
    </row>
    <row r="467" spans="1:13" ht="13.2">
      <c r="A467" s="24" t="s">
        <v>891</v>
      </c>
      <c r="B467" s="24" t="s">
        <v>1562</v>
      </c>
      <c r="C467" s="24">
        <v>0.5</v>
      </c>
      <c r="D467" s="24">
        <v>1265</v>
      </c>
      <c r="E467" s="24">
        <v>2520</v>
      </c>
      <c r="F467" s="30" t="s">
        <v>1252</v>
      </c>
      <c r="G467" s="24" t="s">
        <v>1679</v>
      </c>
      <c r="H467" s="24" t="s">
        <v>1385</v>
      </c>
      <c r="I467" s="24" t="s">
        <v>1223</v>
      </c>
      <c r="K467" s="24" t="s">
        <v>1224</v>
      </c>
      <c r="L467" s="24" t="s">
        <v>1339</v>
      </c>
      <c r="M467" s="24" t="str">
        <f t="shared" si="7"/>
        <v>XROFBA03</v>
      </c>
    </row>
    <row r="468" spans="1:13" ht="13.2">
      <c r="A468" s="24" t="s">
        <v>1684</v>
      </c>
      <c r="B468" s="24" t="s">
        <v>1562</v>
      </c>
      <c r="C468" s="24">
        <v>0.5</v>
      </c>
      <c r="D468" s="24">
        <v>930</v>
      </c>
      <c r="E468" s="24">
        <v>2800</v>
      </c>
      <c r="F468" s="30" t="s">
        <v>1252</v>
      </c>
      <c r="G468" s="24" t="s">
        <v>1679</v>
      </c>
      <c r="H468" s="24" t="s">
        <v>1385</v>
      </c>
      <c r="I468" s="24" t="s">
        <v>1223</v>
      </c>
      <c r="K468" s="24" t="s">
        <v>1224</v>
      </c>
      <c r="L468" s="24" t="s">
        <v>1339</v>
      </c>
      <c r="M468" s="24" t="str">
        <f t="shared" si="7"/>
        <v>XROFBA04</v>
      </c>
    </row>
    <row r="469" spans="1:13" ht="13.2">
      <c r="A469" s="24" t="s">
        <v>1685</v>
      </c>
      <c r="B469" s="24" t="s">
        <v>1562</v>
      </c>
      <c r="C469" s="24">
        <v>0.5</v>
      </c>
      <c r="D469" s="24">
        <v>930</v>
      </c>
      <c r="E469" s="24">
        <v>2800</v>
      </c>
      <c r="F469" s="30" t="s">
        <v>1252</v>
      </c>
      <c r="G469" s="24" t="s">
        <v>1679</v>
      </c>
      <c r="H469" s="24" t="s">
        <v>1385</v>
      </c>
      <c r="I469" s="24" t="s">
        <v>1223</v>
      </c>
      <c r="K469" s="24" t="s">
        <v>1224</v>
      </c>
      <c r="L469" s="24" t="s">
        <v>1339</v>
      </c>
      <c r="M469" s="24" t="str">
        <f t="shared" si="7"/>
        <v>XROFBA04</v>
      </c>
    </row>
    <row r="470" spans="1:13" ht="13.2">
      <c r="A470" s="24" t="s">
        <v>1686</v>
      </c>
      <c r="B470" s="24" t="s">
        <v>1562</v>
      </c>
      <c r="C470" s="24">
        <v>1</v>
      </c>
      <c r="D470" s="24">
        <v>144</v>
      </c>
      <c r="E470" s="24">
        <v>1250</v>
      </c>
      <c r="F470" s="24" t="s">
        <v>1252</v>
      </c>
      <c r="G470" s="24" t="s">
        <v>1222</v>
      </c>
      <c r="H470" s="24" t="s">
        <v>1150</v>
      </c>
      <c r="I470" s="24" t="s">
        <v>1240</v>
      </c>
      <c r="K470" s="24" t="s">
        <v>1224</v>
      </c>
      <c r="L470" s="24" t="s">
        <v>1225</v>
      </c>
      <c r="M470" s="24" t="str">
        <f t="shared" si="7"/>
        <v>XROPZA10</v>
      </c>
    </row>
    <row r="471" spans="1:13" ht="13.2">
      <c r="A471" s="24" t="s">
        <v>1687</v>
      </c>
      <c r="B471" s="24" t="s">
        <v>1562</v>
      </c>
      <c r="C471" s="24">
        <v>1</v>
      </c>
      <c r="D471" s="24">
        <v>144</v>
      </c>
      <c r="E471" s="24">
        <v>1250</v>
      </c>
      <c r="F471" s="30" t="s">
        <v>1252</v>
      </c>
      <c r="G471" s="24" t="s">
        <v>1222</v>
      </c>
      <c r="H471" s="24" t="s">
        <v>1150</v>
      </c>
      <c r="I471" s="24" t="s">
        <v>1240</v>
      </c>
      <c r="K471" s="24" t="s">
        <v>1224</v>
      </c>
      <c r="L471" s="24" t="s">
        <v>1225</v>
      </c>
      <c r="M471" s="24" t="str">
        <f t="shared" si="7"/>
        <v>XROPZA10</v>
      </c>
    </row>
    <row r="472" spans="1:13" ht="13.2">
      <c r="A472" s="24" t="s">
        <v>1688</v>
      </c>
      <c r="B472" s="24" t="s">
        <v>1689</v>
      </c>
      <c r="C472" s="24">
        <v>0.15</v>
      </c>
      <c r="D472" s="24">
        <v>1265</v>
      </c>
      <c r="E472" s="24">
        <v>2200</v>
      </c>
      <c r="F472" s="30" t="s">
        <v>1252</v>
      </c>
      <c r="G472" s="24" t="s">
        <v>1296</v>
      </c>
      <c r="H472" s="24" t="s">
        <v>1115</v>
      </c>
      <c r="I472" s="24" t="s">
        <v>1297</v>
      </c>
      <c r="J472" s="24" t="s">
        <v>1408</v>
      </c>
      <c r="K472" s="24" t="s">
        <v>1224</v>
      </c>
      <c r="L472" s="24" t="s">
        <v>1225</v>
      </c>
      <c r="M472" s="24" t="str">
        <f t="shared" si="7"/>
        <v>XSARWF09</v>
      </c>
    </row>
    <row r="473" spans="1:13" ht="13.2">
      <c r="A473" s="24" t="s">
        <v>1690</v>
      </c>
      <c r="B473" s="24" t="s">
        <v>1689</v>
      </c>
      <c r="C473" s="24">
        <v>0.15</v>
      </c>
      <c r="D473" s="24">
        <v>1265</v>
      </c>
      <c r="E473" s="24">
        <v>2200</v>
      </c>
      <c r="F473" s="30" t="s">
        <v>1252</v>
      </c>
      <c r="G473" s="24" t="s">
        <v>1296</v>
      </c>
      <c r="H473" s="24" t="s">
        <v>1115</v>
      </c>
      <c r="I473" s="24" t="s">
        <v>1297</v>
      </c>
      <c r="J473" s="24" t="s">
        <v>1408</v>
      </c>
      <c r="K473" s="24" t="s">
        <v>1224</v>
      </c>
      <c r="L473" s="24" t="s">
        <v>1225</v>
      </c>
      <c r="M473" s="24" t="str">
        <f t="shared" si="7"/>
        <v>XSARWF09</v>
      </c>
    </row>
    <row r="474" spans="1:13" ht="13.2">
      <c r="A474" s="24" t="s">
        <v>1691</v>
      </c>
      <c r="B474" s="24" t="s">
        <v>1689</v>
      </c>
      <c r="C474" s="24">
        <v>0.15</v>
      </c>
      <c r="D474" s="24">
        <v>1240</v>
      </c>
      <c r="E474" s="24">
        <v>2460</v>
      </c>
      <c r="F474" s="30" t="s">
        <v>1252</v>
      </c>
      <c r="G474" s="24" t="s">
        <v>1296</v>
      </c>
      <c r="H474" s="24" t="s">
        <v>1115</v>
      </c>
      <c r="I474" s="24" t="s">
        <v>1297</v>
      </c>
      <c r="J474" s="24" t="s">
        <v>1408</v>
      </c>
      <c r="K474" s="24" t="s">
        <v>1224</v>
      </c>
      <c r="L474" s="24" t="s">
        <v>1225</v>
      </c>
      <c r="M474" s="24" t="str">
        <f t="shared" si="7"/>
        <v>XSARWF38</v>
      </c>
    </row>
    <row r="475" spans="1:13" ht="13.2">
      <c r="A475" s="24" t="s">
        <v>970</v>
      </c>
      <c r="B475" s="24" t="s">
        <v>1689</v>
      </c>
      <c r="C475" s="24">
        <v>0.15</v>
      </c>
      <c r="D475" s="24">
        <v>1240</v>
      </c>
      <c r="E475" s="24">
        <v>2460</v>
      </c>
      <c r="F475" s="30" t="s">
        <v>1252</v>
      </c>
      <c r="G475" s="24" t="s">
        <v>1296</v>
      </c>
      <c r="H475" s="24" t="s">
        <v>1115</v>
      </c>
      <c r="I475" s="24" t="s">
        <v>1297</v>
      </c>
      <c r="J475" s="24" t="s">
        <v>1408</v>
      </c>
      <c r="K475" s="24" t="s">
        <v>1224</v>
      </c>
      <c r="L475" s="24" t="s">
        <v>1225</v>
      </c>
      <c r="M475" s="24" t="str">
        <f t="shared" si="7"/>
        <v>XSARWF38</v>
      </c>
    </row>
    <row r="476" spans="1:13" ht="13.2">
      <c r="A476" s="24" t="s">
        <v>1692</v>
      </c>
      <c r="B476" s="24" t="s">
        <v>1689</v>
      </c>
      <c r="C476" s="24">
        <v>0.15</v>
      </c>
      <c r="D476" s="24">
        <v>1265</v>
      </c>
      <c r="E476" s="24">
        <v>2520</v>
      </c>
      <c r="F476" s="30" t="s">
        <v>1252</v>
      </c>
      <c r="G476" s="24" t="s">
        <v>1296</v>
      </c>
      <c r="H476" s="24" t="s">
        <v>1115</v>
      </c>
      <c r="I476" s="24" t="s">
        <v>1297</v>
      </c>
      <c r="J476" s="24" t="s">
        <v>1408</v>
      </c>
      <c r="K476" s="24" t="s">
        <v>1224</v>
      </c>
      <c r="L476" s="24" t="s">
        <v>1225</v>
      </c>
      <c r="M476" s="24" t="str">
        <f t="shared" si="7"/>
        <v>XSARWF10</v>
      </c>
    </row>
    <row r="477" spans="1:13" ht="13.2">
      <c r="A477" s="24" t="s">
        <v>1693</v>
      </c>
      <c r="B477" s="24" t="s">
        <v>1689</v>
      </c>
      <c r="C477" s="24">
        <v>0.15</v>
      </c>
      <c r="D477" s="24">
        <v>1265</v>
      </c>
      <c r="E477" s="24">
        <v>2520</v>
      </c>
      <c r="F477" s="30" t="s">
        <v>1252</v>
      </c>
      <c r="G477" s="24" t="s">
        <v>1296</v>
      </c>
      <c r="H477" s="24" t="s">
        <v>1115</v>
      </c>
      <c r="I477" s="24" t="s">
        <v>1297</v>
      </c>
      <c r="J477" s="24" t="s">
        <v>1408</v>
      </c>
      <c r="K477" s="24" t="s">
        <v>1224</v>
      </c>
      <c r="L477" s="24" t="s">
        <v>1225</v>
      </c>
      <c r="M477" s="24" t="str">
        <f t="shared" si="7"/>
        <v>XSARWF10</v>
      </c>
    </row>
    <row r="478" spans="1:13" ht="13.2">
      <c r="A478" s="24" t="s">
        <v>1694</v>
      </c>
      <c r="B478" s="24" t="s">
        <v>1689</v>
      </c>
      <c r="C478" s="24">
        <v>0.15</v>
      </c>
      <c r="D478" s="24">
        <v>660</v>
      </c>
      <c r="E478" s="24">
        <v>2045</v>
      </c>
      <c r="F478" s="30" t="s">
        <v>1252</v>
      </c>
      <c r="G478" s="24" t="s">
        <v>1296</v>
      </c>
      <c r="H478" s="24" t="s">
        <v>1115</v>
      </c>
      <c r="I478" s="24" t="s">
        <v>1297</v>
      </c>
      <c r="J478" s="24" t="s">
        <v>1408</v>
      </c>
      <c r="K478" s="24" t="s">
        <v>1224</v>
      </c>
      <c r="L478" s="24" t="s">
        <v>1409</v>
      </c>
      <c r="M478" s="24" t="str">
        <f t="shared" si="7"/>
        <v>XSARWF21</v>
      </c>
    </row>
    <row r="479" spans="1:13" ht="13.2">
      <c r="A479" s="24" t="s">
        <v>1695</v>
      </c>
      <c r="B479" s="24" t="s">
        <v>1689</v>
      </c>
      <c r="C479" s="24">
        <v>0.15</v>
      </c>
      <c r="D479" s="24">
        <v>765</v>
      </c>
      <c r="E479" s="24">
        <v>2045</v>
      </c>
      <c r="F479" s="30" t="s">
        <v>1252</v>
      </c>
      <c r="G479" s="24" t="s">
        <v>1296</v>
      </c>
      <c r="H479" s="24" t="s">
        <v>1115</v>
      </c>
      <c r="I479" s="24" t="s">
        <v>1297</v>
      </c>
      <c r="J479" s="24" t="s">
        <v>1408</v>
      </c>
      <c r="K479" s="24" t="s">
        <v>1224</v>
      </c>
      <c r="L479" s="24" t="s">
        <v>1409</v>
      </c>
      <c r="M479" s="24" t="str">
        <f t="shared" si="7"/>
        <v>XSARWF22</v>
      </c>
    </row>
    <row r="480" spans="1:13" ht="13.2">
      <c r="A480" s="24" t="s">
        <v>1696</v>
      </c>
      <c r="B480" s="24" t="s">
        <v>1689</v>
      </c>
      <c r="C480" s="24">
        <v>0.15</v>
      </c>
      <c r="D480" s="24">
        <v>815</v>
      </c>
      <c r="E480" s="24">
        <v>2045</v>
      </c>
      <c r="F480" s="30" t="s">
        <v>1252</v>
      </c>
      <c r="G480" s="24" t="s">
        <v>1296</v>
      </c>
      <c r="H480" s="24" t="s">
        <v>1115</v>
      </c>
      <c r="I480" s="24" t="s">
        <v>1297</v>
      </c>
      <c r="J480" s="24" t="s">
        <v>1408</v>
      </c>
      <c r="K480" s="24" t="s">
        <v>1224</v>
      </c>
      <c r="L480" s="24" t="s">
        <v>1409</v>
      </c>
      <c r="M480" s="24" t="str">
        <f t="shared" si="7"/>
        <v>XSARWF23</v>
      </c>
    </row>
    <row r="481" spans="1:13" ht="13.2">
      <c r="A481" s="24" t="s">
        <v>1697</v>
      </c>
      <c r="B481" s="24" t="s">
        <v>1689</v>
      </c>
      <c r="C481" s="24">
        <v>0.15</v>
      </c>
      <c r="D481" s="24">
        <v>865</v>
      </c>
      <c r="E481" s="24">
        <v>2045</v>
      </c>
      <c r="F481" s="30" t="s">
        <v>1252</v>
      </c>
      <c r="G481" s="24" t="s">
        <v>1296</v>
      </c>
      <c r="H481" s="24" t="s">
        <v>1115</v>
      </c>
      <c r="I481" s="24" t="s">
        <v>1297</v>
      </c>
      <c r="J481" s="24" t="s">
        <v>1408</v>
      </c>
      <c r="K481" s="24" t="s">
        <v>1224</v>
      </c>
      <c r="L481" s="24" t="s">
        <v>1409</v>
      </c>
      <c r="M481" s="24" t="str">
        <f t="shared" si="7"/>
        <v>XSARWF24</v>
      </c>
    </row>
    <row r="482" spans="1:13" ht="13.2">
      <c r="A482" s="24" t="s">
        <v>1698</v>
      </c>
      <c r="B482" s="24" t="s">
        <v>1689</v>
      </c>
      <c r="C482" s="24">
        <v>0.15</v>
      </c>
      <c r="D482" s="24">
        <v>965</v>
      </c>
      <c r="E482" s="24">
        <v>2045</v>
      </c>
      <c r="F482" s="30" t="s">
        <v>1252</v>
      </c>
      <c r="G482" s="24" t="s">
        <v>1296</v>
      </c>
      <c r="H482" s="24" t="s">
        <v>1115</v>
      </c>
      <c r="I482" s="24" t="s">
        <v>1297</v>
      </c>
      <c r="J482" s="24" t="s">
        <v>1408</v>
      </c>
      <c r="K482" s="24" t="s">
        <v>1224</v>
      </c>
      <c r="L482" s="24" t="s">
        <v>1409</v>
      </c>
      <c r="M482" s="24" t="str">
        <f t="shared" si="7"/>
        <v>XSARWF25</v>
      </c>
    </row>
    <row r="483" spans="1:13" ht="13.2">
      <c r="A483" s="24" t="s">
        <v>1699</v>
      </c>
      <c r="B483" s="24" t="s">
        <v>1689</v>
      </c>
      <c r="C483" s="24">
        <v>0.15</v>
      </c>
      <c r="D483" s="24">
        <v>630</v>
      </c>
      <c r="E483" s="24">
        <v>2045</v>
      </c>
      <c r="F483" s="30" t="s">
        <v>1252</v>
      </c>
      <c r="G483" s="24" t="s">
        <v>1296</v>
      </c>
      <c r="H483" s="24" t="s">
        <v>1115</v>
      </c>
      <c r="I483" s="24" t="s">
        <v>1297</v>
      </c>
      <c r="J483" s="24" t="s">
        <v>1408</v>
      </c>
      <c r="K483" s="24" t="s">
        <v>1224</v>
      </c>
      <c r="L483" s="24" t="s">
        <v>1409</v>
      </c>
      <c r="M483" s="24" t="str">
        <f t="shared" si="7"/>
        <v>XSARWF31</v>
      </c>
    </row>
    <row r="484" spans="1:13" ht="13.2">
      <c r="A484" s="24" t="s">
        <v>1700</v>
      </c>
      <c r="B484" s="24" t="s">
        <v>1689</v>
      </c>
      <c r="C484" s="24">
        <v>0.15</v>
      </c>
      <c r="D484" s="24">
        <v>730</v>
      </c>
      <c r="E484" s="24">
        <v>2045</v>
      </c>
      <c r="F484" s="30" t="s">
        <v>1252</v>
      </c>
      <c r="G484" s="24" t="s">
        <v>1296</v>
      </c>
      <c r="H484" s="24" t="s">
        <v>1115</v>
      </c>
      <c r="I484" s="24" t="s">
        <v>1297</v>
      </c>
      <c r="J484" s="24" t="s">
        <v>1408</v>
      </c>
      <c r="K484" s="24" t="s">
        <v>1224</v>
      </c>
      <c r="L484" s="24" t="s">
        <v>1409</v>
      </c>
      <c r="M484" s="24" t="str">
        <f t="shared" si="7"/>
        <v>XSARWF32</v>
      </c>
    </row>
    <row r="485" spans="1:13" ht="13.2">
      <c r="A485" s="24" t="s">
        <v>1701</v>
      </c>
      <c r="B485" s="24" t="s">
        <v>1689</v>
      </c>
      <c r="C485" s="24">
        <v>0.15</v>
      </c>
      <c r="D485" s="24">
        <v>780</v>
      </c>
      <c r="E485" s="24">
        <v>2045</v>
      </c>
      <c r="F485" s="30" t="s">
        <v>1252</v>
      </c>
      <c r="G485" s="24" t="s">
        <v>1296</v>
      </c>
      <c r="H485" s="24" t="s">
        <v>1115</v>
      </c>
      <c r="I485" s="24" t="s">
        <v>1297</v>
      </c>
      <c r="J485" s="24" t="s">
        <v>1408</v>
      </c>
      <c r="K485" s="24" t="s">
        <v>1224</v>
      </c>
      <c r="L485" s="24" t="s">
        <v>1409</v>
      </c>
      <c r="M485" s="24" t="str">
        <f t="shared" si="7"/>
        <v>XSARWF33</v>
      </c>
    </row>
    <row r="486" spans="1:13" ht="13.2">
      <c r="A486" s="24" t="s">
        <v>1702</v>
      </c>
      <c r="B486" s="24" t="s">
        <v>1689</v>
      </c>
      <c r="C486" s="24">
        <v>0.15</v>
      </c>
      <c r="D486" s="24">
        <v>830</v>
      </c>
      <c r="E486" s="24">
        <v>2045</v>
      </c>
      <c r="F486" s="30" t="s">
        <v>1252</v>
      </c>
      <c r="G486" s="24" t="s">
        <v>1296</v>
      </c>
      <c r="H486" s="24" t="s">
        <v>1115</v>
      </c>
      <c r="I486" s="24" t="s">
        <v>1297</v>
      </c>
      <c r="J486" s="24" t="s">
        <v>1408</v>
      </c>
      <c r="K486" s="24" t="s">
        <v>1224</v>
      </c>
      <c r="L486" s="24" t="s">
        <v>1409</v>
      </c>
      <c r="M486" s="24" t="str">
        <f t="shared" si="7"/>
        <v>XSARWF34</v>
      </c>
    </row>
    <row r="487" spans="1:13" ht="13.2">
      <c r="A487" s="24" t="s">
        <v>1703</v>
      </c>
      <c r="B487" s="24" t="s">
        <v>1689</v>
      </c>
      <c r="C487" s="24">
        <v>0.15</v>
      </c>
      <c r="D487" s="24">
        <v>930</v>
      </c>
      <c r="E487" s="24">
        <v>2045</v>
      </c>
      <c r="F487" s="30" t="s">
        <v>1252</v>
      </c>
      <c r="G487" s="24" t="s">
        <v>1296</v>
      </c>
      <c r="H487" s="24" t="s">
        <v>1115</v>
      </c>
      <c r="I487" s="24" t="s">
        <v>1297</v>
      </c>
      <c r="J487" s="24" t="s">
        <v>1408</v>
      </c>
      <c r="K487" s="24" t="s">
        <v>1224</v>
      </c>
      <c r="L487" s="24" t="s">
        <v>1409</v>
      </c>
      <c r="M487" s="24" t="str">
        <f t="shared" si="7"/>
        <v>XSARWF39</v>
      </c>
    </row>
    <row r="488" spans="1:13" ht="13.2">
      <c r="A488" s="24" t="s">
        <v>1704</v>
      </c>
      <c r="B488" s="24" t="s">
        <v>1689</v>
      </c>
      <c r="C488" s="24">
        <v>0.15</v>
      </c>
      <c r="D488" s="24">
        <v>660</v>
      </c>
      <c r="E488" s="24">
        <v>2045</v>
      </c>
      <c r="F488" s="30" t="s">
        <v>1252</v>
      </c>
      <c r="G488" s="24" t="s">
        <v>1296</v>
      </c>
      <c r="H488" s="24" t="s">
        <v>1115</v>
      </c>
      <c r="I488" s="24" t="s">
        <v>1297</v>
      </c>
      <c r="J488" s="24" t="s">
        <v>1408</v>
      </c>
      <c r="K488" s="24" t="s">
        <v>1224</v>
      </c>
      <c r="L488" s="24" t="s">
        <v>1409</v>
      </c>
      <c r="M488" s="24" t="str">
        <f t="shared" si="7"/>
        <v>XSARWF21</v>
      </c>
    </row>
    <row r="489" spans="1:13" ht="13.2">
      <c r="A489" s="24" t="s">
        <v>1705</v>
      </c>
      <c r="B489" s="24" t="s">
        <v>1689</v>
      </c>
      <c r="C489" s="24">
        <v>0.15</v>
      </c>
      <c r="D489" s="24">
        <v>765</v>
      </c>
      <c r="E489" s="24">
        <v>2045</v>
      </c>
      <c r="F489" s="30" t="s">
        <v>1252</v>
      </c>
      <c r="G489" s="24" t="s">
        <v>1296</v>
      </c>
      <c r="H489" s="24" t="s">
        <v>1115</v>
      </c>
      <c r="I489" s="24" t="s">
        <v>1297</v>
      </c>
      <c r="J489" s="24" t="s">
        <v>1408</v>
      </c>
      <c r="K489" s="24" t="s">
        <v>1224</v>
      </c>
      <c r="L489" s="24" t="s">
        <v>1409</v>
      </c>
      <c r="M489" s="24" t="str">
        <f t="shared" si="7"/>
        <v>XSARWF22</v>
      </c>
    </row>
    <row r="490" spans="1:13" ht="13.2">
      <c r="A490" s="24" t="s">
        <v>1706</v>
      </c>
      <c r="B490" s="24" t="s">
        <v>1689</v>
      </c>
      <c r="C490" s="24">
        <v>0.15</v>
      </c>
      <c r="D490" s="24">
        <v>815</v>
      </c>
      <c r="E490" s="24">
        <v>2045</v>
      </c>
      <c r="F490" s="30" t="s">
        <v>1252</v>
      </c>
      <c r="G490" s="24" t="s">
        <v>1296</v>
      </c>
      <c r="H490" s="24" t="s">
        <v>1115</v>
      </c>
      <c r="I490" s="24" t="s">
        <v>1297</v>
      </c>
      <c r="J490" s="24" t="s">
        <v>1408</v>
      </c>
      <c r="K490" s="24" t="s">
        <v>1224</v>
      </c>
      <c r="L490" s="24" t="s">
        <v>1409</v>
      </c>
      <c r="M490" s="24" t="str">
        <f t="shared" si="7"/>
        <v>XSARWF23</v>
      </c>
    </row>
    <row r="491" spans="1:13" ht="13.2">
      <c r="A491" s="24" t="s">
        <v>1707</v>
      </c>
      <c r="B491" s="24" t="s">
        <v>1689</v>
      </c>
      <c r="C491" s="24">
        <v>0.15</v>
      </c>
      <c r="D491" s="24">
        <v>865</v>
      </c>
      <c r="E491" s="24">
        <v>2045</v>
      </c>
      <c r="F491" s="30" t="s">
        <v>1252</v>
      </c>
      <c r="G491" s="24" t="s">
        <v>1296</v>
      </c>
      <c r="H491" s="24" t="s">
        <v>1115</v>
      </c>
      <c r="I491" s="24" t="s">
        <v>1297</v>
      </c>
      <c r="J491" s="24" t="s">
        <v>1408</v>
      </c>
      <c r="K491" s="24" t="s">
        <v>1224</v>
      </c>
      <c r="L491" s="24" t="s">
        <v>1409</v>
      </c>
      <c r="M491" s="24" t="str">
        <f t="shared" si="7"/>
        <v>XSARWF24</v>
      </c>
    </row>
    <row r="492" spans="1:13" ht="13.2">
      <c r="A492" s="24" t="s">
        <v>1708</v>
      </c>
      <c r="B492" s="24" t="s">
        <v>1689</v>
      </c>
      <c r="C492" s="24">
        <v>0.15</v>
      </c>
      <c r="D492" s="24">
        <v>965</v>
      </c>
      <c r="E492" s="24">
        <v>2045</v>
      </c>
      <c r="F492" s="30" t="s">
        <v>1252</v>
      </c>
      <c r="G492" s="24" t="s">
        <v>1296</v>
      </c>
      <c r="H492" s="24" t="s">
        <v>1115</v>
      </c>
      <c r="I492" s="24" t="s">
        <v>1297</v>
      </c>
      <c r="J492" s="24" t="s">
        <v>1408</v>
      </c>
      <c r="K492" s="24" t="s">
        <v>1224</v>
      </c>
      <c r="L492" s="24" t="s">
        <v>1409</v>
      </c>
      <c r="M492" s="24" t="str">
        <f t="shared" si="7"/>
        <v>XSARWF25</v>
      </c>
    </row>
    <row r="493" spans="1:13" ht="13.2">
      <c r="A493" s="24" t="s">
        <v>935</v>
      </c>
      <c r="B493" s="24" t="s">
        <v>1689</v>
      </c>
      <c r="C493" s="24">
        <v>0.15</v>
      </c>
      <c r="D493" s="24">
        <v>630</v>
      </c>
      <c r="E493" s="24">
        <v>2045</v>
      </c>
      <c r="F493" s="30" t="s">
        <v>1252</v>
      </c>
      <c r="G493" s="24" t="s">
        <v>1296</v>
      </c>
      <c r="H493" s="24" t="s">
        <v>1115</v>
      </c>
      <c r="I493" s="24" t="s">
        <v>1297</v>
      </c>
      <c r="J493" s="24" t="s">
        <v>1408</v>
      </c>
      <c r="K493" s="24" t="s">
        <v>1224</v>
      </c>
      <c r="L493" s="24" t="s">
        <v>1409</v>
      </c>
      <c r="M493" s="24" t="str">
        <f t="shared" si="7"/>
        <v>XSARWF31</v>
      </c>
    </row>
    <row r="494" spans="1:13" ht="13.2">
      <c r="A494" s="24" t="s">
        <v>940</v>
      </c>
      <c r="B494" s="24" t="s">
        <v>1689</v>
      </c>
      <c r="C494" s="24">
        <v>0.15</v>
      </c>
      <c r="D494" s="24">
        <v>730</v>
      </c>
      <c r="E494" s="24">
        <v>2045</v>
      </c>
      <c r="F494" s="30" t="s">
        <v>1252</v>
      </c>
      <c r="G494" s="24" t="s">
        <v>1296</v>
      </c>
      <c r="H494" s="24" t="s">
        <v>1115</v>
      </c>
      <c r="I494" s="24" t="s">
        <v>1297</v>
      </c>
      <c r="J494" s="24" t="s">
        <v>1408</v>
      </c>
      <c r="K494" s="24" t="s">
        <v>1224</v>
      </c>
      <c r="L494" s="24" t="s">
        <v>1409</v>
      </c>
      <c r="M494" s="24" t="str">
        <f t="shared" si="7"/>
        <v>XSARWF32</v>
      </c>
    </row>
    <row r="495" spans="1:13" ht="13.2">
      <c r="A495" s="24" t="s">
        <v>945</v>
      </c>
      <c r="B495" s="24" t="s">
        <v>1689</v>
      </c>
      <c r="C495" s="24">
        <v>0.15</v>
      </c>
      <c r="D495" s="24">
        <v>780</v>
      </c>
      <c r="E495" s="24">
        <v>2045</v>
      </c>
      <c r="F495" s="30" t="s">
        <v>1252</v>
      </c>
      <c r="G495" s="24" t="s">
        <v>1296</v>
      </c>
      <c r="H495" s="24" t="s">
        <v>1115</v>
      </c>
      <c r="I495" s="24" t="s">
        <v>1297</v>
      </c>
      <c r="J495" s="24" t="s">
        <v>1408</v>
      </c>
      <c r="K495" s="24" t="s">
        <v>1224</v>
      </c>
      <c r="L495" s="24" t="s">
        <v>1409</v>
      </c>
      <c r="M495" s="24" t="str">
        <f t="shared" si="7"/>
        <v>XSARWF33</v>
      </c>
    </row>
    <row r="496" spans="1:13" ht="13.2">
      <c r="A496" s="24" t="s">
        <v>950</v>
      </c>
      <c r="B496" s="24" t="s">
        <v>1689</v>
      </c>
      <c r="C496" s="24">
        <v>0.15</v>
      </c>
      <c r="D496" s="24">
        <v>830</v>
      </c>
      <c r="E496" s="24">
        <v>2045</v>
      </c>
      <c r="F496" s="30" t="s">
        <v>1252</v>
      </c>
      <c r="G496" s="24" t="s">
        <v>1296</v>
      </c>
      <c r="H496" s="24" t="s">
        <v>1115</v>
      </c>
      <c r="I496" s="24" t="s">
        <v>1297</v>
      </c>
      <c r="J496" s="24" t="s">
        <v>1408</v>
      </c>
      <c r="K496" s="24" t="s">
        <v>1224</v>
      </c>
      <c r="L496" s="24" t="s">
        <v>1409</v>
      </c>
      <c r="M496" s="24" t="str">
        <f t="shared" si="7"/>
        <v>XSARWF34</v>
      </c>
    </row>
    <row r="497" spans="1:13" ht="13.2">
      <c r="A497" s="24" t="s">
        <v>955</v>
      </c>
      <c r="B497" s="24" t="s">
        <v>1689</v>
      </c>
      <c r="C497" s="24">
        <v>0.15</v>
      </c>
      <c r="D497" s="24">
        <v>930</v>
      </c>
      <c r="E497" s="24">
        <v>2045</v>
      </c>
      <c r="F497" s="30" t="s">
        <v>1252</v>
      </c>
      <c r="G497" s="24" t="s">
        <v>1296</v>
      </c>
      <c r="H497" s="24" t="s">
        <v>1115</v>
      </c>
      <c r="I497" s="24" t="s">
        <v>1297</v>
      </c>
      <c r="J497" s="24" t="s">
        <v>1408</v>
      </c>
      <c r="K497" s="24" t="s">
        <v>1224</v>
      </c>
      <c r="L497" s="24" t="s">
        <v>1409</v>
      </c>
      <c r="M497" s="24" t="str">
        <f t="shared" si="7"/>
        <v>XSARWF39</v>
      </c>
    </row>
    <row r="498" spans="1:13" ht="13.2">
      <c r="A498" s="24" t="s">
        <v>1709</v>
      </c>
      <c r="B498" s="24" t="s">
        <v>1689</v>
      </c>
      <c r="C498" s="24">
        <v>0.15</v>
      </c>
      <c r="D498" s="24">
        <v>485</v>
      </c>
      <c r="E498" s="24">
        <v>2200</v>
      </c>
      <c r="F498" s="30" t="s">
        <v>1252</v>
      </c>
      <c r="G498" s="24" t="s">
        <v>1296</v>
      </c>
      <c r="H498" s="24" t="s">
        <v>1115</v>
      </c>
      <c r="I498" s="24" t="s">
        <v>1297</v>
      </c>
      <c r="J498" s="24" t="s">
        <v>1408</v>
      </c>
      <c r="K498" s="24" t="s">
        <v>1224</v>
      </c>
      <c r="L498" s="24" t="s">
        <v>1409</v>
      </c>
      <c r="M498" s="24" t="str">
        <f t="shared" si="7"/>
        <v>XSARWF01</v>
      </c>
    </row>
    <row r="499" spans="1:13" ht="13.2">
      <c r="A499" s="24" t="s">
        <v>1710</v>
      </c>
      <c r="B499" s="24" t="s">
        <v>1689</v>
      </c>
      <c r="C499" s="24">
        <v>0.15</v>
      </c>
      <c r="D499" s="24">
        <v>660</v>
      </c>
      <c r="E499" s="24">
        <v>2200</v>
      </c>
      <c r="F499" s="30" t="s">
        <v>1252</v>
      </c>
      <c r="G499" s="24" t="s">
        <v>1296</v>
      </c>
      <c r="H499" s="24" t="s">
        <v>1115</v>
      </c>
      <c r="I499" s="24" t="s">
        <v>1297</v>
      </c>
      <c r="J499" s="24" t="s">
        <v>1408</v>
      </c>
      <c r="K499" s="24" t="s">
        <v>1224</v>
      </c>
      <c r="L499" s="24" t="s">
        <v>1409</v>
      </c>
      <c r="M499" s="24" t="str">
        <f t="shared" si="7"/>
        <v>XSARWF02</v>
      </c>
    </row>
    <row r="500" spans="1:13" ht="13.2">
      <c r="A500" s="24" t="s">
        <v>1711</v>
      </c>
      <c r="B500" s="24" t="s">
        <v>1689</v>
      </c>
      <c r="C500" s="24">
        <v>0.15</v>
      </c>
      <c r="D500" s="24">
        <v>765</v>
      </c>
      <c r="E500" s="24">
        <v>2200</v>
      </c>
      <c r="F500" s="30" t="s">
        <v>1252</v>
      </c>
      <c r="G500" s="24" t="s">
        <v>1296</v>
      </c>
      <c r="H500" s="24" t="s">
        <v>1115</v>
      </c>
      <c r="I500" s="24" t="s">
        <v>1297</v>
      </c>
      <c r="J500" s="24" t="s">
        <v>1408</v>
      </c>
      <c r="K500" s="24" t="s">
        <v>1224</v>
      </c>
      <c r="L500" s="24" t="s">
        <v>1409</v>
      </c>
      <c r="M500" s="24" t="str">
        <f t="shared" si="7"/>
        <v>XSARWF03</v>
      </c>
    </row>
    <row r="501" spans="1:13" ht="13.2">
      <c r="A501" s="24" t="s">
        <v>1712</v>
      </c>
      <c r="B501" s="24" t="s">
        <v>1689</v>
      </c>
      <c r="C501" s="24">
        <v>0.15</v>
      </c>
      <c r="D501" s="24">
        <v>815</v>
      </c>
      <c r="E501" s="24">
        <v>2200</v>
      </c>
      <c r="F501" s="30" t="s">
        <v>1252</v>
      </c>
      <c r="G501" s="24" t="s">
        <v>1296</v>
      </c>
      <c r="H501" s="24" t="s">
        <v>1115</v>
      </c>
      <c r="I501" s="24" t="s">
        <v>1297</v>
      </c>
      <c r="J501" s="24" t="s">
        <v>1408</v>
      </c>
      <c r="K501" s="24" t="s">
        <v>1224</v>
      </c>
      <c r="L501" s="24" t="s">
        <v>1409</v>
      </c>
      <c r="M501" s="24" t="str">
        <f t="shared" si="7"/>
        <v>XSARWF04</v>
      </c>
    </row>
    <row r="502" spans="1:13" ht="13.2">
      <c r="A502" s="24" t="s">
        <v>1713</v>
      </c>
      <c r="B502" s="24" t="s">
        <v>1689</v>
      </c>
      <c r="C502" s="24">
        <v>0.15</v>
      </c>
      <c r="D502" s="24">
        <v>865</v>
      </c>
      <c r="E502" s="24">
        <v>2200</v>
      </c>
      <c r="F502" s="30" t="s">
        <v>1252</v>
      </c>
      <c r="G502" s="24" t="s">
        <v>1296</v>
      </c>
      <c r="H502" s="24" t="s">
        <v>1115</v>
      </c>
      <c r="I502" s="24" t="s">
        <v>1297</v>
      </c>
      <c r="J502" s="24" t="s">
        <v>1408</v>
      </c>
      <c r="K502" s="24" t="s">
        <v>1224</v>
      </c>
      <c r="L502" s="24" t="s">
        <v>1409</v>
      </c>
      <c r="M502" s="24" t="str">
        <f t="shared" si="7"/>
        <v>XSARWF05</v>
      </c>
    </row>
    <row r="503" spans="1:13" ht="13.2">
      <c r="A503" s="24" t="s">
        <v>1714</v>
      </c>
      <c r="B503" s="24" t="s">
        <v>1689</v>
      </c>
      <c r="C503" s="24">
        <v>0.15</v>
      </c>
      <c r="D503" s="24">
        <v>965</v>
      </c>
      <c r="E503" s="24">
        <v>2200</v>
      </c>
      <c r="F503" s="30" t="s">
        <v>1252</v>
      </c>
      <c r="G503" s="24" t="s">
        <v>1296</v>
      </c>
      <c r="H503" s="24" t="s">
        <v>1115</v>
      </c>
      <c r="I503" s="24" t="s">
        <v>1297</v>
      </c>
      <c r="J503" s="24" t="s">
        <v>1408</v>
      </c>
      <c r="K503" s="24" t="s">
        <v>1224</v>
      </c>
      <c r="L503" s="24" t="s">
        <v>1409</v>
      </c>
      <c r="M503" s="24" t="str">
        <f t="shared" si="7"/>
        <v>XSARWF06</v>
      </c>
    </row>
    <row r="504" spans="1:13" ht="13.2">
      <c r="A504" s="24" t="s">
        <v>1715</v>
      </c>
      <c r="B504" s="24" t="s">
        <v>1689</v>
      </c>
      <c r="C504" s="24">
        <v>0.15</v>
      </c>
      <c r="D504" s="24">
        <v>930</v>
      </c>
      <c r="E504" s="24">
        <v>2200</v>
      </c>
      <c r="F504" s="30" t="s">
        <v>1252</v>
      </c>
      <c r="G504" s="24" t="s">
        <v>1296</v>
      </c>
      <c r="H504" s="24" t="s">
        <v>1115</v>
      </c>
      <c r="I504" s="24" t="s">
        <v>1297</v>
      </c>
      <c r="J504" s="24" t="s">
        <v>1408</v>
      </c>
      <c r="K504" s="24" t="s">
        <v>1224</v>
      </c>
      <c r="L504" s="24" t="s">
        <v>1409</v>
      </c>
      <c r="M504" s="24" t="str">
        <f t="shared" si="7"/>
        <v>XSARWF35</v>
      </c>
    </row>
    <row r="505" spans="1:13" ht="13.2">
      <c r="A505" s="24" t="s">
        <v>931</v>
      </c>
      <c r="B505" s="24" t="s">
        <v>1689</v>
      </c>
      <c r="C505" s="24">
        <v>0.15</v>
      </c>
      <c r="D505" s="24">
        <v>485</v>
      </c>
      <c r="E505" s="24">
        <v>2200</v>
      </c>
      <c r="F505" s="30" t="s">
        <v>1252</v>
      </c>
      <c r="G505" s="24" t="s">
        <v>1296</v>
      </c>
      <c r="H505" s="24" t="s">
        <v>1115</v>
      </c>
      <c r="I505" s="24" t="s">
        <v>1297</v>
      </c>
      <c r="J505" s="24" t="s">
        <v>1408</v>
      </c>
      <c r="K505" s="24" t="s">
        <v>1224</v>
      </c>
      <c r="L505" s="24" t="s">
        <v>1409</v>
      </c>
      <c r="M505" s="24" t="str">
        <f t="shared" si="7"/>
        <v>XSARWF01</v>
      </c>
    </row>
    <row r="506" spans="1:13" ht="13.2">
      <c r="A506" s="24" t="s">
        <v>1716</v>
      </c>
      <c r="B506" s="24" t="s">
        <v>1689</v>
      </c>
      <c r="C506" s="24">
        <v>0.15</v>
      </c>
      <c r="D506" s="24">
        <v>660</v>
      </c>
      <c r="E506" s="24">
        <v>2200</v>
      </c>
      <c r="F506" s="30" t="s">
        <v>1252</v>
      </c>
      <c r="G506" s="24" t="s">
        <v>1296</v>
      </c>
      <c r="H506" s="24" t="s">
        <v>1115</v>
      </c>
      <c r="I506" s="24" t="s">
        <v>1297</v>
      </c>
      <c r="J506" s="24" t="s">
        <v>1408</v>
      </c>
      <c r="K506" s="24" t="s">
        <v>1224</v>
      </c>
      <c r="L506" s="24" t="s">
        <v>1409</v>
      </c>
      <c r="M506" s="24" t="str">
        <f t="shared" si="7"/>
        <v>XSARWF02</v>
      </c>
    </row>
    <row r="507" spans="1:13" ht="13.2">
      <c r="A507" s="24" t="s">
        <v>1717</v>
      </c>
      <c r="B507" s="24" t="s">
        <v>1689</v>
      </c>
      <c r="C507" s="24">
        <v>0.15</v>
      </c>
      <c r="D507" s="24">
        <v>765</v>
      </c>
      <c r="E507" s="24">
        <v>2200</v>
      </c>
      <c r="F507" s="24" t="s">
        <v>1252</v>
      </c>
      <c r="G507" s="24" t="s">
        <v>1296</v>
      </c>
      <c r="H507" s="24" t="s">
        <v>1115</v>
      </c>
      <c r="I507" s="24" t="s">
        <v>1297</v>
      </c>
      <c r="J507" s="24" t="s">
        <v>1408</v>
      </c>
      <c r="K507" s="24" t="s">
        <v>1224</v>
      </c>
      <c r="L507" s="24" t="s">
        <v>1409</v>
      </c>
      <c r="M507" s="24" t="str">
        <f t="shared" si="7"/>
        <v>XSARWF03</v>
      </c>
    </row>
    <row r="508" spans="1:13" ht="13.2">
      <c r="A508" s="24" t="s">
        <v>1718</v>
      </c>
      <c r="B508" s="24" t="s">
        <v>1689</v>
      </c>
      <c r="C508" s="24">
        <v>0.15</v>
      </c>
      <c r="D508" s="24">
        <v>815</v>
      </c>
      <c r="E508" s="24">
        <v>2200</v>
      </c>
      <c r="F508" s="30" t="s">
        <v>1252</v>
      </c>
      <c r="G508" s="24" t="s">
        <v>1296</v>
      </c>
      <c r="H508" s="24" t="s">
        <v>1115</v>
      </c>
      <c r="I508" s="24" t="s">
        <v>1297</v>
      </c>
      <c r="J508" s="24" t="s">
        <v>1408</v>
      </c>
      <c r="K508" s="24" t="s">
        <v>1224</v>
      </c>
      <c r="L508" s="24" t="s">
        <v>1409</v>
      </c>
      <c r="M508" s="24" t="str">
        <f t="shared" si="7"/>
        <v>XSARWF04</v>
      </c>
    </row>
    <row r="509" spans="1:13" ht="13.2">
      <c r="A509" s="24" t="s">
        <v>1719</v>
      </c>
      <c r="B509" s="24" t="s">
        <v>1689</v>
      </c>
      <c r="C509" s="24">
        <v>0.15</v>
      </c>
      <c r="D509" s="24">
        <v>865</v>
      </c>
      <c r="E509" s="24">
        <v>2200</v>
      </c>
      <c r="F509" s="30" t="s">
        <v>1252</v>
      </c>
      <c r="G509" s="24" t="s">
        <v>1296</v>
      </c>
      <c r="H509" s="24" t="s">
        <v>1115</v>
      </c>
      <c r="I509" s="24" t="s">
        <v>1297</v>
      </c>
      <c r="J509" s="24" t="s">
        <v>1408</v>
      </c>
      <c r="K509" s="24" t="s">
        <v>1224</v>
      </c>
      <c r="L509" s="24" t="s">
        <v>1409</v>
      </c>
      <c r="M509" s="24" t="str">
        <f t="shared" si="7"/>
        <v>XSARWF05</v>
      </c>
    </row>
    <row r="510" spans="1:13" ht="13.2">
      <c r="A510" s="24" t="s">
        <v>1720</v>
      </c>
      <c r="B510" s="24" t="s">
        <v>1689</v>
      </c>
      <c r="C510" s="24">
        <v>0.15</v>
      </c>
      <c r="D510" s="24">
        <v>965</v>
      </c>
      <c r="E510" s="24">
        <v>2200</v>
      </c>
      <c r="F510" s="30" t="s">
        <v>1252</v>
      </c>
      <c r="G510" s="24" t="s">
        <v>1296</v>
      </c>
      <c r="H510" s="24" t="s">
        <v>1115</v>
      </c>
      <c r="I510" s="24" t="s">
        <v>1297</v>
      </c>
      <c r="J510" s="24" t="s">
        <v>1408</v>
      </c>
      <c r="K510" s="24" t="s">
        <v>1224</v>
      </c>
      <c r="L510" s="24" t="s">
        <v>1409</v>
      </c>
      <c r="M510" s="24" t="str">
        <f t="shared" si="7"/>
        <v>XSARWF06</v>
      </c>
    </row>
    <row r="511" spans="1:13" ht="13.2">
      <c r="A511" s="24" t="s">
        <v>1721</v>
      </c>
      <c r="B511" s="24" t="s">
        <v>1689</v>
      </c>
      <c r="C511" s="24">
        <v>0.15</v>
      </c>
      <c r="D511" s="24">
        <v>930</v>
      </c>
      <c r="E511" s="24">
        <v>2200</v>
      </c>
      <c r="F511" s="30" t="s">
        <v>1252</v>
      </c>
      <c r="G511" s="24" t="s">
        <v>1296</v>
      </c>
      <c r="H511" s="24" t="s">
        <v>1115</v>
      </c>
      <c r="I511" s="24" t="s">
        <v>1297</v>
      </c>
      <c r="J511" s="24" t="s">
        <v>1408</v>
      </c>
      <c r="K511" s="24" t="s">
        <v>1224</v>
      </c>
      <c r="L511" s="24" t="s">
        <v>1409</v>
      </c>
      <c r="M511" s="24" t="str">
        <f t="shared" si="7"/>
        <v>XSARWF35</v>
      </c>
    </row>
    <row r="512" spans="1:13" ht="13.2">
      <c r="A512" s="24" t="s">
        <v>1722</v>
      </c>
      <c r="B512" s="24" t="s">
        <v>1689</v>
      </c>
      <c r="C512" s="24">
        <v>0.15</v>
      </c>
      <c r="D512" s="24">
        <v>965</v>
      </c>
      <c r="E512" s="24">
        <v>2250</v>
      </c>
      <c r="F512" s="30" t="s">
        <v>1252</v>
      </c>
      <c r="G512" s="24" t="s">
        <v>1296</v>
      </c>
      <c r="H512" s="24" t="s">
        <v>1115</v>
      </c>
      <c r="I512" s="24" t="s">
        <v>1297</v>
      </c>
      <c r="J512" s="24" t="s">
        <v>1408</v>
      </c>
      <c r="K512" s="24" t="s">
        <v>1224</v>
      </c>
      <c r="L512" s="24" t="s">
        <v>1409</v>
      </c>
      <c r="M512" s="24" t="str">
        <f t="shared" si="7"/>
        <v>XSARWF07</v>
      </c>
    </row>
    <row r="513" spans="1:13" ht="13.2">
      <c r="A513" s="24" t="s">
        <v>1723</v>
      </c>
      <c r="B513" s="24" t="s">
        <v>1689</v>
      </c>
      <c r="C513" s="24">
        <v>0.15</v>
      </c>
      <c r="D513" s="24">
        <v>930</v>
      </c>
      <c r="E513" s="24">
        <v>2250</v>
      </c>
      <c r="F513" s="30" t="s">
        <v>1252</v>
      </c>
      <c r="G513" s="24" t="s">
        <v>1296</v>
      </c>
      <c r="H513" s="24" t="s">
        <v>1115</v>
      </c>
      <c r="I513" s="24" t="s">
        <v>1297</v>
      </c>
      <c r="J513" s="24" t="s">
        <v>1408</v>
      </c>
      <c r="K513" s="24" t="s">
        <v>1224</v>
      </c>
      <c r="L513" s="24" t="s">
        <v>1409</v>
      </c>
      <c r="M513" s="24" t="str">
        <f t="shared" si="7"/>
        <v>XSARWF36</v>
      </c>
    </row>
    <row r="514" spans="1:13" ht="13.2">
      <c r="A514" s="24" t="s">
        <v>1724</v>
      </c>
      <c r="B514" s="24" t="s">
        <v>1689</v>
      </c>
      <c r="C514" s="24">
        <v>0.15</v>
      </c>
      <c r="D514" s="24">
        <v>965</v>
      </c>
      <c r="E514" s="24">
        <v>2250</v>
      </c>
      <c r="F514" s="30" t="s">
        <v>1252</v>
      </c>
      <c r="G514" s="24" t="s">
        <v>1296</v>
      </c>
      <c r="H514" s="24" t="s">
        <v>1115</v>
      </c>
      <c r="I514" s="24" t="s">
        <v>1297</v>
      </c>
      <c r="J514" s="24" t="s">
        <v>1408</v>
      </c>
      <c r="K514" s="24" t="s">
        <v>1224</v>
      </c>
      <c r="L514" s="24" t="s">
        <v>1409</v>
      </c>
      <c r="M514" s="24" t="str">
        <f t="shared" ref="M514:M577" si="8">RIGHT(A514,8)</f>
        <v>XSARWF07</v>
      </c>
    </row>
    <row r="515" spans="1:13" ht="13.2">
      <c r="A515" s="24" t="s">
        <v>961</v>
      </c>
      <c r="B515" s="24" t="s">
        <v>1689</v>
      </c>
      <c r="C515" s="24">
        <v>0.15</v>
      </c>
      <c r="D515" s="24">
        <v>930</v>
      </c>
      <c r="E515" s="24">
        <v>2250</v>
      </c>
      <c r="F515" s="30" t="s">
        <v>1252</v>
      </c>
      <c r="G515" s="24" t="s">
        <v>1296</v>
      </c>
      <c r="H515" s="24" t="s">
        <v>1115</v>
      </c>
      <c r="I515" s="24" t="s">
        <v>1297</v>
      </c>
      <c r="J515" s="24" t="s">
        <v>1408</v>
      </c>
      <c r="K515" s="24" t="s">
        <v>1224</v>
      </c>
      <c r="L515" s="24" t="s">
        <v>1409</v>
      </c>
      <c r="M515" s="24" t="str">
        <f t="shared" si="8"/>
        <v>XSARWF36</v>
      </c>
    </row>
    <row r="516" spans="1:13" ht="13.2">
      <c r="A516" s="24" t="s">
        <v>1725</v>
      </c>
      <c r="B516" s="24" t="s">
        <v>1689</v>
      </c>
      <c r="C516" s="24">
        <v>0.15</v>
      </c>
      <c r="D516" s="24">
        <v>930</v>
      </c>
      <c r="E516" s="24">
        <v>2460</v>
      </c>
      <c r="F516" s="30" t="s">
        <v>1252</v>
      </c>
      <c r="G516" s="24" t="s">
        <v>1296</v>
      </c>
      <c r="H516" s="24" t="s">
        <v>1115</v>
      </c>
      <c r="I516" s="24" t="s">
        <v>1297</v>
      </c>
      <c r="J516" s="24" t="s">
        <v>1408</v>
      </c>
      <c r="K516" s="24" t="s">
        <v>1224</v>
      </c>
      <c r="L516" s="24" t="s">
        <v>1409</v>
      </c>
      <c r="M516" s="24" t="str">
        <f t="shared" si="8"/>
        <v>XSARWF37</v>
      </c>
    </row>
    <row r="517" spans="1:13" ht="13.2">
      <c r="A517" s="24" t="s">
        <v>964</v>
      </c>
      <c r="B517" s="24" t="s">
        <v>1689</v>
      </c>
      <c r="C517" s="24">
        <v>0.15</v>
      </c>
      <c r="D517" s="24">
        <v>930</v>
      </c>
      <c r="E517" s="24">
        <v>2460</v>
      </c>
      <c r="F517" s="30" t="s">
        <v>1252</v>
      </c>
      <c r="G517" s="24" t="s">
        <v>1296</v>
      </c>
      <c r="H517" s="24" t="s">
        <v>1115</v>
      </c>
      <c r="I517" s="24" t="s">
        <v>1297</v>
      </c>
      <c r="J517" s="24" t="s">
        <v>1408</v>
      </c>
      <c r="K517" s="24" t="s">
        <v>1224</v>
      </c>
      <c r="L517" s="24" t="s">
        <v>1409</v>
      </c>
      <c r="M517" s="24" t="str">
        <f t="shared" si="8"/>
        <v>XSARWF37</v>
      </c>
    </row>
    <row r="518" spans="1:13" ht="13.2">
      <c r="A518" s="24" t="s">
        <v>1726</v>
      </c>
      <c r="B518" s="24" t="s">
        <v>1689</v>
      </c>
      <c r="C518" s="24">
        <v>0.15</v>
      </c>
      <c r="D518" s="24">
        <v>965</v>
      </c>
      <c r="E518" s="24">
        <v>2520</v>
      </c>
      <c r="F518" s="30" t="s">
        <v>1252</v>
      </c>
      <c r="G518" s="24" t="s">
        <v>1296</v>
      </c>
      <c r="H518" s="24" t="s">
        <v>1115</v>
      </c>
      <c r="I518" s="24" t="s">
        <v>1297</v>
      </c>
      <c r="J518" s="24" t="s">
        <v>1408</v>
      </c>
      <c r="K518" s="24" t="s">
        <v>1224</v>
      </c>
      <c r="L518" s="24" t="s">
        <v>1409</v>
      </c>
      <c r="M518" s="24" t="str">
        <f t="shared" si="8"/>
        <v>XSARWF08</v>
      </c>
    </row>
    <row r="519" spans="1:13" ht="13.2">
      <c r="A519" s="24" t="s">
        <v>1727</v>
      </c>
      <c r="B519" s="24" t="s">
        <v>1689</v>
      </c>
      <c r="C519" s="24">
        <v>0.15</v>
      </c>
      <c r="D519" s="24">
        <v>965</v>
      </c>
      <c r="E519" s="24">
        <v>2520</v>
      </c>
      <c r="F519" s="30" t="s">
        <v>1252</v>
      </c>
      <c r="G519" s="24" t="s">
        <v>1296</v>
      </c>
      <c r="H519" s="24" t="s">
        <v>1115</v>
      </c>
      <c r="I519" s="24" t="s">
        <v>1297</v>
      </c>
      <c r="J519" s="24" t="s">
        <v>1408</v>
      </c>
      <c r="K519" s="24" t="s">
        <v>1224</v>
      </c>
      <c r="L519" s="24" t="s">
        <v>1409</v>
      </c>
      <c r="M519" s="24" t="str">
        <f t="shared" si="8"/>
        <v>XSARWF08</v>
      </c>
    </row>
    <row r="520" spans="1:13" ht="13.2">
      <c r="A520" s="24" t="s">
        <v>1728</v>
      </c>
      <c r="B520" s="24" t="s">
        <v>1689</v>
      </c>
      <c r="C520" s="24">
        <v>0.5</v>
      </c>
      <c r="D520" s="24">
        <v>1265</v>
      </c>
      <c r="E520" s="24">
        <v>2520</v>
      </c>
      <c r="F520" s="30" t="s">
        <v>1221</v>
      </c>
      <c r="G520" s="24" t="s">
        <v>1222</v>
      </c>
      <c r="H520" s="24" t="s">
        <v>1109</v>
      </c>
      <c r="I520" s="24" t="s">
        <v>1223</v>
      </c>
      <c r="K520" s="24" t="s">
        <v>1224</v>
      </c>
      <c r="L520" s="24" t="s">
        <v>1225</v>
      </c>
      <c r="M520" s="24" t="str">
        <f t="shared" si="8"/>
        <v>XSAPB101</v>
      </c>
    </row>
    <row r="521" spans="1:13" ht="13.2">
      <c r="A521" s="24" t="s">
        <v>1729</v>
      </c>
      <c r="B521" s="24" t="s">
        <v>1689</v>
      </c>
      <c r="C521" s="24">
        <v>0.5</v>
      </c>
      <c r="D521" s="24">
        <v>1265</v>
      </c>
      <c r="E521" s="24">
        <v>2520</v>
      </c>
      <c r="F521" s="30" t="s">
        <v>1221</v>
      </c>
      <c r="G521" s="24" t="s">
        <v>1222</v>
      </c>
      <c r="H521" s="24" t="s">
        <v>1109</v>
      </c>
      <c r="I521" s="24" t="s">
        <v>1223</v>
      </c>
      <c r="K521" s="24" t="s">
        <v>1224</v>
      </c>
      <c r="L521" s="24" t="s">
        <v>1225</v>
      </c>
      <c r="M521" s="24" t="str">
        <f t="shared" si="8"/>
        <v>XSAPB101</v>
      </c>
    </row>
    <row r="522" spans="1:13" ht="13.2">
      <c r="A522" s="24" t="s">
        <v>1730</v>
      </c>
      <c r="B522" s="24" t="s">
        <v>1689</v>
      </c>
      <c r="C522" s="24">
        <v>0.5</v>
      </c>
      <c r="D522" s="24">
        <v>1265</v>
      </c>
      <c r="E522" s="24">
        <v>2520</v>
      </c>
      <c r="F522" s="30" t="s">
        <v>1252</v>
      </c>
      <c r="G522" s="24" t="s">
        <v>1222</v>
      </c>
      <c r="H522" s="24" t="s">
        <v>49</v>
      </c>
      <c r="I522" s="24" t="s">
        <v>1223</v>
      </c>
      <c r="K522" s="24" t="s">
        <v>1224</v>
      </c>
      <c r="L522" s="24" t="s">
        <v>1225</v>
      </c>
      <c r="M522" s="24" t="str">
        <f t="shared" si="8"/>
        <v>XSAPBA02</v>
      </c>
    </row>
    <row r="523" spans="1:13" ht="13.2">
      <c r="A523" s="24" t="s">
        <v>1731</v>
      </c>
      <c r="B523" s="24" t="s">
        <v>1689</v>
      </c>
      <c r="C523" s="24">
        <v>0.5</v>
      </c>
      <c r="D523" s="24">
        <v>1265</v>
      </c>
      <c r="E523" s="24">
        <v>2520</v>
      </c>
      <c r="F523" s="30" t="s">
        <v>1252</v>
      </c>
      <c r="G523" s="24" t="s">
        <v>1222</v>
      </c>
      <c r="H523" s="24" t="s">
        <v>49</v>
      </c>
      <c r="I523" s="24" t="s">
        <v>1223</v>
      </c>
      <c r="K523" s="24" t="s">
        <v>1224</v>
      </c>
      <c r="L523" s="24" t="s">
        <v>1225</v>
      </c>
      <c r="M523" s="24" t="str">
        <f t="shared" si="8"/>
        <v>XSAPBA02</v>
      </c>
    </row>
    <row r="524" spans="1:13" ht="13.2">
      <c r="A524" s="24" t="s">
        <v>1732</v>
      </c>
      <c r="B524" s="24" t="s">
        <v>1689</v>
      </c>
      <c r="C524" s="24">
        <v>0.5</v>
      </c>
      <c r="D524" s="24">
        <v>1265</v>
      </c>
      <c r="E524" s="31">
        <v>2520</v>
      </c>
      <c r="F524" s="30" t="s">
        <v>1252</v>
      </c>
      <c r="G524" s="24" t="s">
        <v>1222</v>
      </c>
      <c r="H524" s="24" t="s">
        <v>1366</v>
      </c>
      <c r="I524" s="24" t="s">
        <v>1223</v>
      </c>
      <c r="K524" s="24" t="s">
        <v>1224</v>
      </c>
      <c r="L524" s="24" t="s">
        <v>1225</v>
      </c>
      <c r="M524" s="24" t="str">
        <f t="shared" si="8"/>
        <v>XSAPBA01</v>
      </c>
    </row>
    <row r="525" spans="1:13" ht="13.2">
      <c r="A525" s="24" t="s">
        <v>1733</v>
      </c>
      <c r="B525" s="24" t="s">
        <v>1689</v>
      </c>
      <c r="C525" s="24">
        <v>0.5</v>
      </c>
      <c r="D525" s="24">
        <v>1265</v>
      </c>
      <c r="E525" s="24">
        <v>2520</v>
      </c>
      <c r="F525" s="30" t="s">
        <v>1252</v>
      </c>
      <c r="G525" s="24" t="s">
        <v>1222</v>
      </c>
      <c r="H525" s="24" t="s">
        <v>1366</v>
      </c>
      <c r="I525" s="24" t="s">
        <v>1223</v>
      </c>
      <c r="K525" s="24" t="s">
        <v>1224</v>
      </c>
      <c r="L525" s="24" t="s">
        <v>1225</v>
      </c>
      <c r="M525" s="24" t="str">
        <f t="shared" si="8"/>
        <v>XSAPBA01</v>
      </c>
    </row>
    <row r="526" spans="1:13" ht="13.2">
      <c r="A526" s="24" t="s">
        <v>1734</v>
      </c>
      <c r="B526" s="24" t="s">
        <v>1689</v>
      </c>
      <c r="C526" s="24">
        <v>0.5</v>
      </c>
      <c r="D526" s="24">
        <v>1265</v>
      </c>
      <c r="E526" s="24">
        <v>2520</v>
      </c>
      <c r="F526" s="30" t="s">
        <v>1252</v>
      </c>
      <c r="G526" s="24" t="s">
        <v>1222</v>
      </c>
      <c r="H526" s="24" t="s">
        <v>1137</v>
      </c>
      <c r="I526" s="24" t="s">
        <v>1223</v>
      </c>
      <c r="K526" s="24" t="s">
        <v>1224</v>
      </c>
      <c r="L526" s="24" t="s">
        <v>1225</v>
      </c>
      <c r="M526" s="24" t="str">
        <f t="shared" si="8"/>
        <v>XSAPBB01</v>
      </c>
    </row>
    <row r="527" spans="1:13" ht="13.2">
      <c r="A527" s="24" t="s">
        <v>1735</v>
      </c>
      <c r="B527" s="24" t="s">
        <v>1689</v>
      </c>
      <c r="C527" s="24">
        <v>0.5</v>
      </c>
      <c r="D527" s="24">
        <v>1265</v>
      </c>
      <c r="E527" s="24">
        <v>2520</v>
      </c>
      <c r="F527" s="30" t="s">
        <v>1252</v>
      </c>
      <c r="G527" s="24" t="s">
        <v>1222</v>
      </c>
      <c r="H527" s="24" t="s">
        <v>1137</v>
      </c>
      <c r="I527" s="24" t="s">
        <v>1223</v>
      </c>
      <c r="K527" s="24" t="s">
        <v>1224</v>
      </c>
      <c r="L527" s="24" t="s">
        <v>1225</v>
      </c>
      <c r="M527" s="24" t="str">
        <f t="shared" si="8"/>
        <v>XSAPBB01</v>
      </c>
    </row>
    <row r="528" spans="1:13" ht="13.2">
      <c r="A528" s="24" t="s">
        <v>1736</v>
      </c>
      <c r="B528" s="24" t="s">
        <v>1689</v>
      </c>
      <c r="C528" s="24">
        <v>0.5</v>
      </c>
      <c r="D528" s="24">
        <v>1265</v>
      </c>
      <c r="E528" s="24">
        <v>2520</v>
      </c>
      <c r="F528" s="30" t="s">
        <v>1252</v>
      </c>
      <c r="G528" s="24" t="s">
        <v>1222</v>
      </c>
      <c r="H528" s="24" t="s">
        <v>1137</v>
      </c>
      <c r="I528" s="24" t="s">
        <v>1237</v>
      </c>
      <c r="K528" s="24" t="s">
        <v>1224</v>
      </c>
      <c r="L528" s="24" t="s">
        <v>1225</v>
      </c>
      <c r="M528" s="24" t="str">
        <f t="shared" si="8"/>
        <v>XSAPPB01</v>
      </c>
    </row>
    <row r="529" spans="1:13" ht="13.2">
      <c r="A529" s="24" t="s">
        <v>1737</v>
      </c>
      <c r="B529" s="24" t="s">
        <v>1689</v>
      </c>
      <c r="C529" s="24">
        <v>0.5</v>
      </c>
      <c r="D529" s="24">
        <v>1265</v>
      </c>
      <c r="E529" s="24">
        <v>2520</v>
      </c>
      <c r="F529" s="30" t="s">
        <v>1252</v>
      </c>
      <c r="G529" s="24" t="s">
        <v>1222</v>
      </c>
      <c r="H529" s="24" t="s">
        <v>1137</v>
      </c>
      <c r="I529" s="24" t="s">
        <v>1237</v>
      </c>
      <c r="K529" s="24" t="s">
        <v>1224</v>
      </c>
      <c r="L529" s="24" t="s">
        <v>1225</v>
      </c>
      <c r="M529" s="24" t="str">
        <f t="shared" si="8"/>
        <v>XSAPPB01</v>
      </c>
    </row>
    <row r="530" spans="1:13" ht="13.2">
      <c r="A530" s="24" t="s">
        <v>1738</v>
      </c>
      <c r="B530" s="24" t="s">
        <v>1689</v>
      </c>
      <c r="C530" s="24">
        <v>0.5</v>
      </c>
      <c r="D530" s="24">
        <v>1265</v>
      </c>
      <c r="E530" s="24">
        <v>2520</v>
      </c>
      <c r="F530" s="30" t="s">
        <v>1221</v>
      </c>
      <c r="G530" s="24" t="s">
        <v>1342</v>
      </c>
      <c r="H530" s="24" t="s">
        <v>1109</v>
      </c>
      <c r="I530" s="24" t="s">
        <v>1230</v>
      </c>
      <c r="K530" s="24" t="s">
        <v>1224</v>
      </c>
      <c r="L530" s="24" t="s">
        <v>1225</v>
      </c>
      <c r="M530" s="24" t="str">
        <f t="shared" si="8"/>
        <v>XSAQM101</v>
      </c>
    </row>
    <row r="531" spans="1:13" ht="13.2">
      <c r="A531" s="24" t="s">
        <v>1739</v>
      </c>
      <c r="B531" s="24" t="s">
        <v>1689</v>
      </c>
      <c r="C531" s="24">
        <v>0.5</v>
      </c>
      <c r="D531" s="24">
        <v>1265</v>
      </c>
      <c r="E531" s="24">
        <v>2520</v>
      </c>
      <c r="F531" s="30" t="s">
        <v>1221</v>
      </c>
      <c r="G531" s="24" t="s">
        <v>1342</v>
      </c>
      <c r="H531" s="24" t="s">
        <v>1109</v>
      </c>
      <c r="I531" s="24" t="s">
        <v>1230</v>
      </c>
      <c r="K531" s="24" t="s">
        <v>1224</v>
      </c>
      <c r="L531" s="24" t="s">
        <v>1225</v>
      </c>
      <c r="M531" s="24" t="str">
        <f t="shared" si="8"/>
        <v>XSAQM101</v>
      </c>
    </row>
    <row r="532" spans="1:13" ht="13.2">
      <c r="A532" s="24" t="s">
        <v>1740</v>
      </c>
      <c r="B532" s="24" t="s">
        <v>1689</v>
      </c>
      <c r="C532" s="24">
        <v>0.5</v>
      </c>
      <c r="D532" s="24">
        <v>1265</v>
      </c>
      <c r="E532" s="24">
        <v>2520</v>
      </c>
      <c r="F532" s="30" t="s">
        <v>1221</v>
      </c>
      <c r="G532" s="24" t="s">
        <v>1342</v>
      </c>
      <c r="H532" s="24" t="s">
        <v>1244</v>
      </c>
      <c r="I532" s="24" t="s">
        <v>1230</v>
      </c>
      <c r="K532" s="24" t="s">
        <v>1224</v>
      </c>
      <c r="L532" s="24" t="s">
        <v>1225</v>
      </c>
      <c r="M532" s="24" t="str">
        <f t="shared" si="8"/>
        <v>XSAQM201</v>
      </c>
    </row>
    <row r="533" spans="1:13" ht="13.2">
      <c r="A533" s="24" t="s">
        <v>1741</v>
      </c>
      <c r="B533" s="24" t="s">
        <v>1689</v>
      </c>
      <c r="C533" s="24">
        <v>0.5</v>
      </c>
      <c r="D533" s="24">
        <v>1265</v>
      </c>
      <c r="E533" s="24">
        <v>2520</v>
      </c>
      <c r="F533" s="30" t="s">
        <v>1221</v>
      </c>
      <c r="G533" s="24" t="s">
        <v>1342</v>
      </c>
      <c r="H533" s="24" t="s">
        <v>1244</v>
      </c>
      <c r="I533" s="24" t="s">
        <v>1230</v>
      </c>
      <c r="K533" s="24" t="s">
        <v>1224</v>
      </c>
      <c r="L533" s="24" t="s">
        <v>1225</v>
      </c>
      <c r="M533" s="24" t="str">
        <f t="shared" si="8"/>
        <v>XSAQM201</v>
      </c>
    </row>
    <row r="534" spans="1:13" ht="13.2">
      <c r="A534" s="24" t="s">
        <v>1742</v>
      </c>
      <c r="B534" s="24" t="s">
        <v>1689</v>
      </c>
      <c r="C534" s="24">
        <v>0.5</v>
      </c>
      <c r="D534" s="24">
        <v>1265</v>
      </c>
      <c r="E534" s="24">
        <v>2520</v>
      </c>
      <c r="F534" s="30" t="s">
        <v>1252</v>
      </c>
      <c r="G534" s="24" t="s">
        <v>1342</v>
      </c>
      <c r="H534" s="24" t="s">
        <v>49</v>
      </c>
      <c r="I534" s="24" t="s">
        <v>1223</v>
      </c>
      <c r="K534" s="24" t="s">
        <v>1224</v>
      </c>
      <c r="L534" s="24" t="s">
        <v>1225</v>
      </c>
      <c r="M534" s="24" t="str">
        <f t="shared" si="8"/>
        <v>XSAQBA01</v>
      </c>
    </row>
    <row r="535" spans="1:13" ht="13.2">
      <c r="A535" s="24" t="s">
        <v>1743</v>
      </c>
      <c r="B535" s="24" t="s">
        <v>1689</v>
      </c>
      <c r="C535" s="24">
        <v>0.5</v>
      </c>
      <c r="D535" s="24">
        <v>1265</v>
      </c>
      <c r="E535" s="24">
        <v>2520</v>
      </c>
      <c r="F535" s="30" t="s">
        <v>1252</v>
      </c>
      <c r="G535" s="24" t="s">
        <v>1342</v>
      </c>
      <c r="H535" s="24" t="s">
        <v>49</v>
      </c>
      <c r="I535" s="24" t="s">
        <v>1223</v>
      </c>
      <c r="K535" s="24" t="s">
        <v>1224</v>
      </c>
      <c r="L535" s="24" t="s">
        <v>1225</v>
      </c>
      <c r="M535" s="24" t="str">
        <f t="shared" si="8"/>
        <v>XSAQBA01</v>
      </c>
    </row>
    <row r="536" spans="1:13" ht="13.2">
      <c r="A536" s="24" t="s">
        <v>1744</v>
      </c>
      <c r="B536" s="24" t="s">
        <v>1689</v>
      </c>
      <c r="C536" s="24">
        <v>0.5</v>
      </c>
      <c r="D536" s="24">
        <v>1265</v>
      </c>
      <c r="E536" s="24">
        <v>2520</v>
      </c>
      <c r="F536" s="30" t="s">
        <v>1252</v>
      </c>
      <c r="G536" s="24" t="s">
        <v>1342</v>
      </c>
      <c r="H536" s="24" t="s">
        <v>49</v>
      </c>
      <c r="I536" s="24" t="s">
        <v>1745</v>
      </c>
      <c r="K536" s="24" t="s">
        <v>1224</v>
      </c>
      <c r="L536" s="24" t="s">
        <v>1225</v>
      </c>
      <c r="M536" s="24" t="str">
        <f t="shared" si="8"/>
        <v>XSAQBA02</v>
      </c>
    </row>
    <row r="537" spans="1:13" ht="13.2">
      <c r="A537" s="24" t="s">
        <v>1746</v>
      </c>
      <c r="B537" s="24" t="s">
        <v>1689</v>
      </c>
      <c r="C537" s="24">
        <v>0.5</v>
      </c>
      <c r="D537" s="24">
        <v>1265</v>
      </c>
      <c r="E537" s="24">
        <v>2520</v>
      </c>
      <c r="F537" s="30" t="s">
        <v>1252</v>
      </c>
      <c r="G537" s="24" t="s">
        <v>1342</v>
      </c>
      <c r="H537" s="24" t="s">
        <v>49</v>
      </c>
      <c r="I537" s="24" t="s">
        <v>1745</v>
      </c>
      <c r="K537" s="24" t="s">
        <v>1224</v>
      </c>
      <c r="L537" s="24" t="s">
        <v>1225</v>
      </c>
      <c r="M537" s="24" t="str">
        <f t="shared" si="8"/>
        <v>XSAQBA02</v>
      </c>
    </row>
    <row r="538" spans="1:13" ht="13.2">
      <c r="A538" s="24" t="s">
        <v>1747</v>
      </c>
      <c r="B538" s="24" t="s">
        <v>1689</v>
      </c>
      <c r="C538" s="24">
        <v>0.5</v>
      </c>
      <c r="D538" s="24">
        <v>1265</v>
      </c>
      <c r="E538" s="24">
        <v>2520</v>
      </c>
      <c r="F538" s="30" t="s">
        <v>1252</v>
      </c>
      <c r="G538" s="24" t="s">
        <v>1342</v>
      </c>
      <c r="H538" s="24" t="s">
        <v>1137</v>
      </c>
      <c r="I538" s="24" t="s">
        <v>1223</v>
      </c>
      <c r="K538" s="24" t="s">
        <v>1224</v>
      </c>
      <c r="L538" s="24" t="s">
        <v>1225</v>
      </c>
      <c r="M538" s="24" t="str">
        <f t="shared" si="8"/>
        <v>XSAQBB01</v>
      </c>
    </row>
    <row r="539" spans="1:13" ht="13.2">
      <c r="A539" s="24" t="s">
        <v>1748</v>
      </c>
      <c r="B539" s="24" t="s">
        <v>1689</v>
      </c>
      <c r="C539" s="24">
        <v>0.5</v>
      </c>
      <c r="D539" s="24">
        <v>1265</v>
      </c>
      <c r="E539" s="24">
        <v>2520</v>
      </c>
      <c r="F539" s="30" t="s">
        <v>1252</v>
      </c>
      <c r="G539" s="24" t="s">
        <v>1342</v>
      </c>
      <c r="H539" s="24" t="s">
        <v>1137</v>
      </c>
      <c r="I539" s="24" t="s">
        <v>1223</v>
      </c>
      <c r="K539" s="24" t="s">
        <v>1224</v>
      </c>
      <c r="L539" s="24" t="s">
        <v>1225</v>
      </c>
      <c r="M539" s="24" t="str">
        <f t="shared" si="8"/>
        <v>XSAQBB01</v>
      </c>
    </row>
    <row r="540" spans="1:13" ht="13.2">
      <c r="A540" s="24" t="s">
        <v>1749</v>
      </c>
      <c r="B540" s="24" t="s">
        <v>1750</v>
      </c>
      <c r="C540" s="24">
        <v>0.25</v>
      </c>
      <c r="D540" s="24">
        <v>965</v>
      </c>
      <c r="E540" s="24">
        <v>2250</v>
      </c>
      <c r="F540" s="30" t="s">
        <v>1252</v>
      </c>
      <c r="G540" s="24" t="s">
        <v>1296</v>
      </c>
      <c r="H540" s="24" t="s">
        <v>1380</v>
      </c>
      <c r="I540" s="24" t="s">
        <v>1297</v>
      </c>
      <c r="K540" s="24" t="s">
        <v>1224</v>
      </c>
      <c r="L540" s="24" t="s">
        <v>1339</v>
      </c>
      <c r="M540" s="24" t="str">
        <f t="shared" si="8"/>
        <v>XUBRWA03</v>
      </c>
    </row>
    <row r="541" spans="1:13" ht="13.2">
      <c r="A541" s="24" t="s">
        <v>973</v>
      </c>
      <c r="B541" s="24" t="s">
        <v>1750</v>
      </c>
      <c r="C541" s="24">
        <v>0.25</v>
      </c>
      <c r="D541" s="24">
        <v>965</v>
      </c>
      <c r="E541" s="24">
        <v>2250</v>
      </c>
      <c r="F541" s="30" t="s">
        <v>1252</v>
      </c>
      <c r="G541" s="24" t="s">
        <v>1296</v>
      </c>
      <c r="H541" s="24" t="s">
        <v>1380</v>
      </c>
      <c r="I541" s="24" t="s">
        <v>1297</v>
      </c>
      <c r="K541" s="24" t="s">
        <v>1224</v>
      </c>
      <c r="L541" s="24" t="s">
        <v>1339</v>
      </c>
      <c r="M541" s="24" t="str">
        <f t="shared" si="8"/>
        <v>XUBRWA03</v>
      </c>
    </row>
    <row r="542" spans="1:13" ht="13.2">
      <c r="A542" s="24" t="s">
        <v>1751</v>
      </c>
      <c r="B542" s="24" t="s">
        <v>1750</v>
      </c>
      <c r="C542" s="24">
        <v>0.25</v>
      </c>
      <c r="D542" s="24">
        <v>965</v>
      </c>
      <c r="E542" s="24">
        <v>2520</v>
      </c>
      <c r="F542" s="30" t="s">
        <v>1252</v>
      </c>
      <c r="G542" s="24" t="s">
        <v>1296</v>
      </c>
      <c r="H542" s="24" t="s">
        <v>1380</v>
      </c>
      <c r="I542" s="24" t="s">
        <v>1297</v>
      </c>
      <c r="K542" s="24" t="s">
        <v>1224</v>
      </c>
      <c r="L542" s="24" t="s">
        <v>1339</v>
      </c>
      <c r="M542" s="24" t="str">
        <f t="shared" si="8"/>
        <v>XUBRWA01</v>
      </c>
    </row>
    <row r="543" spans="1:13" ht="13.2">
      <c r="A543" s="24" t="s">
        <v>1752</v>
      </c>
      <c r="B543" s="24" t="s">
        <v>1750</v>
      </c>
      <c r="C543" s="24">
        <v>0.25</v>
      </c>
      <c r="D543" s="24">
        <v>1265</v>
      </c>
      <c r="E543" s="24">
        <v>2520</v>
      </c>
      <c r="F543" s="30" t="s">
        <v>1252</v>
      </c>
      <c r="G543" s="24" t="s">
        <v>1296</v>
      </c>
      <c r="H543" s="24" t="s">
        <v>1380</v>
      </c>
      <c r="I543" s="24" t="s">
        <v>1297</v>
      </c>
      <c r="K543" s="24" t="s">
        <v>1224</v>
      </c>
      <c r="L543" s="24" t="s">
        <v>1339</v>
      </c>
      <c r="M543" s="24" t="str">
        <f t="shared" si="8"/>
        <v>XUBRWA02</v>
      </c>
    </row>
    <row r="544" spans="1:13" ht="13.2">
      <c r="A544" s="24" t="s">
        <v>976</v>
      </c>
      <c r="B544" s="24" t="s">
        <v>1750</v>
      </c>
      <c r="C544" s="24">
        <v>0.25</v>
      </c>
      <c r="D544" s="24">
        <v>965</v>
      </c>
      <c r="E544" s="24">
        <v>2520</v>
      </c>
      <c r="F544" s="30" t="s">
        <v>1252</v>
      </c>
      <c r="G544" s="24" t="s">
        <v>1296</v>
      </c>
      <c r="H544" s="24" t="s">
        <v>1380</v>
      </c>
      <c r="I544" s="24" t="s">
        <v>1297</v>
      </c>
      <c r="K544" s="24" t="s">
        <v>1224</v>
      </c>
      <c r="L544" s="24" t="s">
        <v>1339</v>
      </c>
      <c r="M544" s="24" t="str">
        <f t="shared" si="8"/>
        <v>XUBRWA01</v>
      </c>
    </row>
    <row r="545" spans="1:13" ht="13.2">
      <c r="A545" s="24" t="s">
        <v>982</v>
      </c>
      <c r="B545" s="24" t="s">
        <v>1750</v>
      </c>
      <c r="C545" s="24">
        <v>0.25</v>
      </c>
      <c r="D545" s="24">
        <v>1265</v>
      </c>
      <c r="E545" s="24">
        <v>2520</v>
      </c>
      <c r="F545" s="30" t="s">
        <v>1252</v>
      </c>
      <c r="G545" s="24" t="s">
        <v>1296</v>
      </c>
      <c r="H545" s="24" t="s">
        <v>1380</v>
      </c>
      <c r="I545" s="24" t="s">
        <v>1297</v>
      </c>
      <c r="K545" s="24" t="s">
        <v>1224</v>
      </c>
      <c r="L545" s="24" t="s">
        <v>1339</v>
      </c>
      <c r="M545" s="24" t="str">
        <f t="shared" si="8"/>
        <v>XUBRWA02</v>
      </c>
    </row>
    <row r="546" spans="1:13" ht="13.2">
      <c r="A546" s="24" t="s">
        <v>1753</v>
      </c>
      <c r="B546" s="24" t="s">
        <v>1754</v>
      </c>
      <c r="C546" s="24">
        <v>0.5</v>
      </c>
      <c r="D546" s="24">
        <v>1265</v>
      </c>
      <c r="E546" s="24">
        <v>2520</v>
      </c>
      <c r="F546" s="30" t="s">
        <v>1221</v>
      </c>
      <c r="G546" s="24" t="s">
        <v>1222</v>
      </c>
      <c r="H546" s="24" t="s">
        <v>1109</v>
      </c>
      <c r="I546" s="24" t="s">
        <v>1223</v>
      </c>
      <c r="K546" s="24" t="s">
        <v>1224</v>
      </c>
      <c r="L546" s="24" t="s">
        <v>1225</v>
      </c>
      <c r="M546" s="24" t="str">
        <f t="shared" si="8"/>
        <v>XASPB101</v>
      </c>
    </row>
    <row r="547" spans="1:13" ht="13.2">
      <c r="A547" s="24" t="s">
        <v>1755</v>
      </c>
      <c r="B547" s="24" t="s">
        <v>1754</v>
      </c>
      <c r="C547" s="24">
        <v>0.5</v>
      </c>
      <c r="D547" s="24">
        <v>1265</v>
      </c>
      <c r="E547" s="24">
        <v>2520</v>
      </c>
      <c r="F547" s="30" t="s">
        <v>1221</v>
      </c>
      <c r="G547" s="24" t="s">
        <v>1222</v>
      </c>
      <c r="H547" s="24" t="s">
        <v>1109</v>
      </c>
      <c r="I547" s="24" t="s">
        <v>1223</v>
      </c>
      <c r="K547" s="24" t="s">
        <v>1224</v>
      </c>
      <c r="L547" s="24" t="s">
        <v>1225</v>
      </c>
      <c r="M547" s="24" t="str">
        <f t="shared" si="8"/>
        <v>XASPB101</v>
      </c>
    </row>
    <row r="548" spans="1:13" ht="13.2">
      <c r="A548" s="24" t="s">
        <v>1756</v>
      </c>
      <c r="B548" s="24" t="s">
        <v>1754</v>
      </c>
      <c r="C548" s="24">
        <v>0.5</v>
      </c>
      <c r="D548" s="24">
        <v>1265</v>
      </c>
      <c r="E548" s="24">
        <v>2520</v>
      </c>
      <c r="F548" s="30" t="s">
        <v>1221</v>
      </c>
      <c r="G548" s="24" t="s">
        <v>1222</v>
      </c>
      <c r="H548" s="24" t="s">
        <v>1109</v>
      </c>
      <c r="I548" s="24" t="s">
        <v>1230</v>
      </c>
      <c r="K548" s="24" t="s">
        <v>1224</v>
      </c>
      <c r="L548" s="24" t="s">
        <v>1225</v>
      </c>
      <c r="M548" s="24" t="str">
        <f t="shared" si="8"/>
        <v>XASPM101</v>
      </c>
    </row>
    <row r="549" spans="1:13" ht="13.2">
      <c r="A549" s="24" t="s">
        <v>1757</v>
      </c>
      <c r="B549" s="24" t="s">
        <v>1754</v>
      </c>
      <c r="C549" s="24">
        <v>0.5</v>
      </c>
      <c r="D549" s="24">
        <v>1265</v>
      </c>
      <c r="E549" s="24">
        <v>2520</v>
      </c>
      <c r="F549" s="30" t="s">
        <v>1221</v>
      </c>
      <c r="G549" s="24" t="s">
        <v>1222</v>
      </c>
      <c r="H549" s="24" t="s">
        <v>1109</v>
      </c>
      <c r="I549" s="24" t="s">
        <v>1230</v>
      </c>
      <c r="K549" s="24" t="s">
        <v>1224</v>
      </c>
      <c r="L549" s="24" t="s">
        <v>1225</v>
      </c>
      <c r="M549" s="24" t="str">
        <f t="shared" si="8"/>
        <v>XASPM101</v>
      </c>
    </row>
    <row r="550" spans="1:13" ht="13.2">
      <c r="A550" s="24" t="s">
        <v>1758</v>
      </c>
      <c r="B550" s="24" t="s">
        <v>1754</v>
      </c>
      <c r="C550" s="24">
        <v>0.5</v>
      </c>
      <c r="D550" s="24">
        <v>1265</v>
      </c>
      <c r="E550" s="24">
        <v>2520</v>
      </c>
      <c r="F550" s="30" t="s">
        <v>1221</v>
      </c>
      <c r="G550" s="24" t="s">
        <v>1222</v>
      </c>
      <c r="H550" s="24" t="s">
        <v>1244</v>
      </c>
      <c r="I550" s="24" t="s">
        <v>1230</v>
      </c>
      <c r="K550" s="24" t="s">
        <v>1224</v>
      </c>
      <c r="L550" s="24" t="s">
        <v>1225</v>
      </c>
      <c r="M550" s="24" t="str">
        <f t="shared" si="8"/>
        <v>XASPM201</v>
      </c>
    </row>
    <row r="551" spans="1:13" ht="13.2">
      <c r="A551" s="24" t="s">
        <v>1759</v>
      </c>
      <c r="B551" s="24" t="s">
        <v>1754</v>
      </c>
      <c r="C551" s="24">
        <v>0.5</v>
      </c>
      <c r="D551" s="24">
        <v>1265</v>
      </c>
      <c r="E551" s="24">
        <v>2520</v>
      </c>
      <c r="F551" s="30" t="s">
        <v>1221</v>
      </c>
      <c r="G551" s="24" t="s">
        <v>1222</v>
      </c>
      <c r="H551" s="24" t="s">
        <v>1244</v>
      </c>
      <c r="I551" s="24" t="s">
        <v>1230</v>
      </c>
      <c r="K551" s="24" t="s">
        <v>1224</v>
      </c>
      <c r="L551" s="24" t="s">
        <v>1225</v>
      </c>
      <c r="M551" s="24" t="str">
        <f t="shared" si="8"/>
        <v>XASPM201</v>
      </c>
    </row>
    <row r="552" spans="1:13" ht="13.2">
      <c r="A552" s="24" t="s">
        <v>1760</v>
      </c>
      <c r="B552" s="24" t="s">
        <v>1754</v>
      </c>
      <c r="C552" s="24">
        <v>0.5</v>
      </c>
      <c r="D552" s="24">
        <v>1265</v>
      </c>
      <c r="E552" s="24">
        <v>2520</v>
      </c>
      <c r="F552" s="30" t="s">
        <v>1252</v>
      </c>
      <c r="G552" s="24" t="s">
        <v>1222</v>
      </c>
      <c r="H552" s="24" t="s">
        <v>1366</v>
      </c>
      <c r="I552" s="24" t="s">
        <v>1223</v>
      </c>
      <c r="K552" s="24" t="s">
        <v>1224</v>
      </c>
      <c r="L552" s="24" t="s">
        <v>1225</v>
      </c>
      <c r="M552" s="24" t="str">
        <f t="shared" si="8"/>
        <v>XASPBA01</v>
      </c>
    </row>
    <row r="553" spans="1:13" ht="13.2">
      <c r="A553" s="24" t="s">
        <v>1761</v>
      </c>
      <c r="B553" s="24" t="s">
        <v>1754</v>
      </c>
      <c r="C553" s="24">
        <v>0.5</v>
      </c>
      <c r="D553" s="24">
        <v>1265</v>
      </c>
      <c r="E553" s="24">
        <v>2520</v>
      </c>
      <c r="F553" s="30" t="s">
        <v>1252</v>
      </c>
      <c r="G553" s="24" t="s">
        <v>1222</v>
      </c>
      <c r="H553" s="24" t="s">
        <v>1366</v>
      </c>
      <c r="I553" s="24" t="s">
        <v>1223</v>
      </c>
      <c r="K553" s="24" t="s">
        <v>1224</v>
      </c>
      <c r="L553" s="24" t="s">
        <v>1225</v>
      </c>
      <c r="M553" s="24" t="str">
        <f t="shared" si="8"/>
        <v>XASPBA01</v>
      </c>
    </row>
    <row r="554" spans="1:13" ht="13.2">
      <c r="A554" s="24" t="s">
        <v>1762</v>
      </c>
      <c r="B554" s="24" t="s">
        <v>1754</v>
      </c>
      <c r="C554" s="24">
        <v>0.5</v>
      </c>
      <c r="D554" s="24">
        <v>1265</v>
      </c>
      <c r="E554" s="24">
        <v>2520</v>
      </c>
      <c r="F554" s="30" t="s">
        <v>1252</v>
      </c>
      <c r="G554" s="24" t="s">
        <v>1222</v>
      </c>
      <c r="H554" s="24" t="s">
        <v>1137</v>
      </c>
      <c r="I554" s="24" t="s">
        <v>1223</v>
      </c>
      <c r="K554" s="24" t="s">
        <v>1224</v>
      </c>
      <c r="L554" s="24" t="s">
        <v>1225</v>
      </c>
      <c r="M554" s="24" t="str">
        <f t="shared" si="8"/>
        <v>XASPBB01</v>
      </c>
    </row>
    <row r="555" spans="1:13" ht="13.2">
      <c r="A555" s="24" t="s">
        <v>146</v>
      </c>
      <c r="B555" s="24" t="s">
        <v>1754</v>
      </c>
      <c r="C555" s="24">
        <v>0.5</v>
      </c>
      <c r="D555" s="24">
        <v>1265</v>
      </c>
      <c r="E555" s="24">
        <v>2520</v>
      </c>
      <c r="F555" s="30" t="s">
        <v>1252</v>
      </c>
      <c r="G555" s="24" t="s">
        <v>1222</v>
      </c>
      <c r="H555" s="24" t="s">
        <v>1137</v>
      </c>
      <c r="I555" s="24" t="s">
        <v>1223</v>
      </c>
      <c r="K555" s="24" t="s">
        <v>1224</v>
      </c>
      <c r="L555" s="24" t="s">
        <v>1225</v>
      </c>
      <c r="M555" s="24" t="str">
        <f t="shared" si="8"/>
        <v>XASPBB01</v>
      </c>
    </row>
    <row r="556" spans="1:13" ht="13.2">
      <c r="A556" s="24" t="s">
        <v>1763</v>
      </c>
      <c r="B556" s="24" t="s">
        <v>1754</v>
      </c>
      <c r="C556" s="24">
        <v>0.5</v>
      </c>
      <c r="D556" s="24">
        <v>1265</v>
      </c>
      <c r="E556" s="24">
        <v>2520</v>
      </c>
      <c r="F556" s="30" t="s">
        <v>1221</v>
      </c>
      <c r="G556" s="24" t="s">
        <v>1296</v>
      </c>
      <c r="H556" s="24" t="s">
        <v>1244</v>
      </c>
      <c r="I556" s="24" t="s">
        <v>1230</v>
      </c>
      <c r="K556" s="24" t="s">
        <v>1224</v>
      </c>
      <c r="L556" s="24" t="s">
        <v>1225</v>
      </c>
      <c r="M556" s="24" t="str">
        <f t="shared" si="8"/>
        <v>XASRM201</v>
      </c>
    </row>
    <row r="557" spans="1:13" ht="13.2">
      <c r="A557" s="24" t="s">
        <v>1764</v>
      </c>
      <c r="B557" s="24" t="s">
        <v>1754</v>
      </c>
      <c r="C557" s="24">
        <v>0.5</v>
      </c>
      <c r="D557" s="24">
        <v>1265</v>
      </c>
      <c r="E557" s="24">
        <v>2520</v>
      </c>
      <c r="F557" s="30" t="s">
        <v>1221</v>
      </c>
      <c r="G557" s="24" t="s">
        <v>1296</v>
      </c>
      <c r="H557" s="24" t="s">
        <v>1244</v>
      </c>
      <c r="I557" s="24" t="s">
        <v>1230</v>
      </c>
      <c r="K557" s="24" t="s">
        <v>1224</v>
      </c>
      <c r="L557" s="24" t="s">
        <v>1225</v>
      </c>
      <c r="M557" s="24" t="str">
        <f t="shared" si="8"/>
        <v>XASRM201</v>
      </c>
    </row>
    <row r="558" spans="1:13" ht="13.2">
      <c r="A558" s="24" t="s">
        <v>1765</v>
      </c>
      <c r="B558" s="24" t="s">
        <v>1754</v>
      </c>
      <c r="C558" s="24">
        <v>0.5</v>
      </c>
      <c r="D558" s="24">
        <v>1265</v>
      </c>
      <c r="E558" s="24">
        <v>2520</v>
      </c>
      <c r="F558" s="30" t="s">
        <v>1221</v>
      </c>
      <c r="G558" s="24" t="s">
        <v>1296</v>
      </c>
      <c r="H558" s="24" t="s">
        <v>1247</v>
      </c>
      <c r="I558" s="24" t="s">
        <v>1230</v>
      </c>
      <c r="K558" s="24" t="s">
        <v>1224</v>
      </c>
      <c r="L558" s="24" t="s">
        <v>1225</v>
      </c>
      <c r="M558" s="24" t="str">
        <f t="shared" si="8"/>
        <v>XASRM202</v>
      </c>
    </row>
    <row r="559" spans="1:13" ht="13.2">
      <c r="A559" s="24" t="s">
        <v>1766</v>
      </c>
      <c r="B559" s="24" t="s">
        <v>1754</v>
      </c>
      <c r="C559" s="24">
        <v>0.5</v>
      </c>
      <c r="D559" s="24">
        <v>1265</v>
      </c>
      <c r="E559" s="24">
        <v>2520</v>
      </c>
      <c r="F559" s="30" t="s">
        <v>1221</v>
      </c>
      <c r="G559" s="24" t="s">
        <v>1296</v>
      </c>
      <c r="H559" s="24" t="s">
        <v>1247</v>
      </c>
      <c r="I559" s="24" t="s">
        <v>1230</v>
      </c>
      <c r="K559" s="24" t="s">
        <v>1224</v>
      </c>
      <c r="L559" s="24" t="s">
        <v>1225</v>
      </c>
      <c r="M559" s="24" t="str">
        <f t="shared" si="8"/>
        <v>XASRM202</v>
      </c>
    </row>
    <row r="560" spans="1:13" ht="13.2">
      <c r="A560" s="24" t="s">
        <v>1767</v>
      </c>
      <c r="B560" s="24" t="s">
        <v>1754</v>
      </c>
      <c r="C560" s="24">
        <v>0.5</v>
      </c>
      <c r="D560" s="24">
        <v>1265</v>
      </c>
      <c r="E560" s="24">
        <v>2520</v>
      </c>
      <c r="F560" s="30" t="s">
        <v>1252</v>
      </c>
      <c r="G560" s="24" t="s">
        <v>1296</v>
      </c>
      <c r="H560" s="24" t="s">
        <v>1768</v>
      </c>
      <c r="I560" s="24" t="s">
        <v>1297</v>
      </c>
      <c r="K560" s="24" t="s">
        <v>1224</v>
      </c>
      <c r="L560" s="24" t="s">
        <v>1225</v>
      </c>
      <c r="M560" s="24" t="str">
        <f t="shared" si="8"/>
        <v>XASRWB02</v>
      </c>
    </row>
    <row r="561" spans="1:13" ht="13.2">
      <c r="A561" s="24" t="s">
        <v>1769</v>
      </c>
      <c r="B561" s="24" t="s">
        <v>1754</v>
      </c>
      <c r="C561" s="24">
        <v>0.5</v>
      </c>
      <c r="D561" s="24">
        <v>1265</v>
      </c>
      <c r="E561" s="24">
        <v>2520</v>
      </c>
      <c r="F561" s="30" t="s">
        <v>1252</v>
      </c>
      <c r="G561" s="24" t="s">
        <v>1296</v>
      </c>
      <c r="H561" s="24" t="s">
        <v>1768</v>
      </c>
      <c r="I561" s="24" t="s">
        <v>1297</v>
      </c>
      <c r="K561" s="24" t="s">
        <v>1224</v>
      </c>
      <c r="L561" s="24" t="s">
        <v>1225</v>
      </c>
      <c r="M561" s="24" t="str">
        <f t="shared" si="8"/>
        <v>XASRWB02</v>
      </c>
    </row>
    <row r="562" spans="1:13" ht="13.2">
      <c r="A562" s="24" t="s">
        <v>1770</v>
      </c>
      <c r="B562" s="24" t="s">
        <v>1771</v>
      </c>
      <c r="C562" s="24">
        <v>0.2</v>
      </c>
      <c r="D562" s="24">
        <v>1265</v>
      </c>
      <c r="E562" s="24">
        <v>2520</v>
      </c>
      <c r="F562" s="30" t="s">
        <v>1221</v>
      </c>
      <c r="G562" s="24" t="s">
        <v>1296</v>
      </c>
      <c r="H562" s="24" t="s">
        <v>1772</v>
      </c>
      <c r="I562" s="24" t="s">
        <v>1297</v>
      </c>
      <c r="K562" s="24" t="s">
        <v>1224</v>
      </c>
      <c r="L562" s="24" t="s">
        <v>1225</v>
      </c>
      <c r="M562" s="24" t="str">
        <f t="shared" si="8"/>
        <v>XWBRW301</v>
      </c>
    </row>
    <row r="563" spans="1:13" ht="13.2">
      <c r="A563" s="24" t="s">
        <v>1773</v>
      </c>
      <c r="B563" s="24" t="s">
        <v>1771</v>
      </c>
      <c r="C563" s="24">
        <v>0.2</v>
      </c>
      <c r="D563" s="24">
        <v>1265</v>
      </c>
      <c r="E563" s="24">
        <v>2520</v>
      </c>
      <c r="F563" s="30" t="s">
        <v>1221</v>
      </c>
      <c r="G563" s="24" t="s">
        <v>1296</v>
      </c>
      <c r="H563" s="24" t="s">
        <v>1772</v>
      </c>
      <c r="I563" s="24" t="s">
        <v>1297</v>
      </c>
      <c r="K563" s="24" t="s">
        <v>1224</v>
      </c>
      <c r="L563" s="24" t="s">
        <v>1225</v>
      </c>
      <c r="M563" s="24" t="str">
        <f t="shared" si="8"/>
        <v>XWBRW301</v>
      </c>
    </row>
    <row r="564" spans="1:13" ht="13.2">
      <c r="A564" s="24" t="s">
        <v>1774</v>
      </c>
      <c r="B564" s="24" t="s">
        <v>1771</v>
      </c>
      <c r="C564" s="24">
        <v>0.3</v>
      </c>
      <c r="D564" s="24">
        <v>1265</v>
      </c>
      <c r="E564" s="24">
        <v>2520</v>
      </c>
      <c r="F564" s="30" t="s">
        <v>1221</v>
      </c>
      <c r="G564" s="24" t="s">
        <v>1296</v>
      </c>
      <c r="H564" s="24" t="s">
        <v>1109</v>
      </c>
      <c r="I564" s="24" t="s">
        <v>1297</v>
      </c>
      <c r="K564" s="24" t="s">
        <v>1224</v>
      </c>
      <c r="L564" s="24" t="s">
        <v>1225</v>
      </c>
      <c r="M564" s="24" t="str">
        <f t="shared" si="8"/>
        <v>XWBRW101</v>
      </c>
    </row>
    <row r="565" spans="1:13" ht="13.2">
      <c r="A565" s="24" t="s">
        <v>371</v>
      </c>
      <c r="B565" s="24" t="s">
        <v>1771</v>
      </c>
      <c r="C565" s="24">
        <v>0.3</v>
      </c>
      <c r="D565" s="24">
        <v>1265</v>
      </c>
      <c r="E565" s="24">
        <v>2520</v>
      </c>
      <c r="F565" s="30" t="s">
        <v>1221</v>
      </c>
      <c r="G565" s="24" t="s">
        <v>1296</v>
      </c>
      <c r="H565" s="24" t="s">
        <v>1109</v>
      </c>
      <c r="I565" s="24" t="s">
        <v>1297</v>
      </c>
      <c r="K565" s="24" t="s">
        <v>1224</v>
      </c>
      <c r="L565" s="24" t="s">
        <v>1225</v>
      </c>
      <c r="M565" s="24" t="str">
        <f t="shared" si="8"/>
        <v>XWBRW101</v>
      </c>
    </row>
    <row r="566" spans="1:13" ht="13.2">
      <c r="A566" s="24" t="s">
        <v>1775</v>
      </c>
      <c r="B566" s="24" t="s">
        <v>1771</v>
      </c>
      <c r="C566" s="24">
        <v>0.3</v>
      </c>
      <c r="D566" s="24">
        <v>1265</v>
      </c>
      <c r="E566" s="24">
        <v>2520</v>
      </c>
      <c r="F566" s="30" t="s">
        <v>1221</v>
      </c>
      <c r="G566" s="24" t="s">
        <v>1296</v>
      </c>
      <c r="H566" s="24" t="s">
        <v>1244</v>
      </c>
      <c r="I566" s="24" t="s">
        <v>1230</v>
      </c>
      <c r="K566" s="24" t="s">
        <v>1224</v>
      </c>
      <c r="L566" s="24" t="s">
        <v>1225</v>
      </c>
      <c r="M566" s="24" t="str">
        <f t="shared" si="8"/>
        <v>XWBRM201</v>
      </c>
    </row>
    <row r="567" spans="1:13" ht="13.2">
      <c r="A567" s="24" t="s">
        <v>1776</v>
      </c>
      <c r="B567" s="24" t="s">
        <v>1771</v>
      </c>
      <c r="C567" s="24">
        <v>0.3</v>
      </c>
      <c r="D567" s="24">
        <v>1265</v>
      </c>
      <c r="E567" s="24">
        <v>2520</v>
      </c>
      <c r="F567" s="30" t="s">
        <v>1221</v>
      </c>
      <c r="G567" s="24" t="s">
        <v>1296</v>
      </c>
      <c r="H567" s="24" t="s">
        <v>1244</v>
      </c>
      <c r="I567" s="24" t="s">
        <v>1230</v>
      </c>
      <c r="K567" s="24" t="s">
        <v>1224</v>
      </c>
      <c r="L567" s="24" t="s">
        <v>1225</v>
      </c>
      <c r="M567" s="24" t="str">
        <f t="shared" si="8"/>
        <v>XWBRM201</v>
      </c>
    </row>
    <row r="568" spans="1:13" ht="13.2">
      <c r="A568" s="24" t="s">
        <v>1777</v>
      </c>
      <c r="B568" s="24" t="s">
        <v>1771</v>
      </c>
      <c r="C568" s="24">
        <v>0.3</v>
      </c>
      <c r="D568" s="24">
        <v>1265</v>
      </c>
      <c r="E568" s="24">
        <v>2520</v>
      </c>
      <c r="F568" s="30" t="s">
        <v>1221</v>
      </c>
      <c r="G568" s="24" t="s">
        <v>1296</v>
      </c>
      <c r="H568" s="24" t="s">
        <v>1244</v>
      </c>
      <c r="I568" s="24" t="s">
        <v>1232</v>
      </c>
      <c r="K568" s="24" t="s">
        <v>1224</v>
      </c>
      <c r="L568" s="24" t="s">
        <v>1225</v>
      </c>
      <c r="M568" s="24" t="str">
        <f t="shared" si="8"/>
        <v>XWBRS201</v>
      </c>
    </row>
    <row r="569" spans="1:13" ht="13.2">
      <c r="A569" s="24" t="s">
        <v>1778</v>
      </c>
      <c r="B569" s="24" t="s">
        <v>1771</v>
      </c>
      <c r="C569" s="24">
        <v>0.3</v>
      </c>
      <c r="D569" s="24">
        <v>1265</v>
      </c>
      <c r="E569" s="24">
        <v>2520</v>
      </c>
      <c r="F569" s="30" t="s">
        <v>1221</v>
      </c>
      <c r="G569" s="24" t="s">
        <v>1296</v>
      </c>
      <c r="H569" s="24" t="s">
        <v>1244</v>
      </c>
      <c r="I569" s="24" t="s">
        <v>1232</v>
      </c>
      <c r="K569" s="24" t="s">
        <v>1224</v>
      </c>
      <c r="L569" s="24" t="s">
        <v>1225</v>
      </c>
      <c r="M569" s="24" t="str">
        <f t="shared" si="8"/>
        <v>XWBRS201</v>
      </c>
    </row>
    <row r="570" spans="1:13" ht="13.2">
      <c r="A570" s="24" t="s">
        <v>1779</v>
      </c>
      <c r="B570" s="24" t="s">
        <v>1771</v>
      </c>
      <c r="C570" s="24">
        <v>0.3</v>
      </c>
      <c r="D570" s="24">
        <v>1265</v>
      </c>
      <c r="E570" s="24">
        <v>2520</v>
      </c>
      <c r="F570" s="30" t="s">
        <v>1221</v>
      </c>
      <c r="G570" s="24" t="s">
        <v>1296</v>
      </c>
      <c r="H570" s="24" t="s">
        <v>1244</v>
      </c>
      <c r="I570" s="24" t="s">
        <v>1297</v>
      </c>
      <c r="K570" s="24" t="s">
        <v>1224</v>
      </c>
      <c r="L570" s="24" t="s">
        <v>1225</v>
      </c>
      <c r="M570" s="24" t="str">
        <f t="shared" si="8"/>
        <v>XWBRW201</v>
      </c>
    </row>
    <row r="571" spans="1:13" ht="13.2">
      <c r="A571" s="24" t="s">
        <v>360</v>
      </c>
      <c r="B571" s="24" t="s">
        <v>1771</v>
      </c>
      <c r="C571" s="24">
        <v>0.3</v>
      </c>
      <c r="D571" s="24">
        <v>1265</v>
      </c>
      <c r="E571" s="24">
        <v>2520</v>
      </c>
      <c r="F571" s="30" t="s">
        <v>1221</v>
      </c>
      <c r="G571" s="24" t="s">
        <v>1296</v>
      </c>
      <c r="H571" s="24" t="s">
        <v>1244</v>
      </c>
      <c r="I571" s="24" t="s">
        <v>1297</v>
      </c>
      <c r="K571" s="24" t="s">
        <v>1224</v>
      </c>
      <c r="L571" s="24" t="s">
        <v>1225</v>
      </c>
      <c r="M571" s="24" t="str">
        <f t="shared" si="8"/>
        <v>XWBRW201</v>
      </c>
    </row>
    <row r="572" spans="1:13" ht="13.2">
      <c r="A572" s="24" t="s">
        <v>1780</v>
      </c>
      <c r="B572" s="24" t="s">
        <v>1771</v>
      </c>
      <c r="C572" s="24">
        <v>0.3</v>
      </c>
      <c r="D572" s="24">
        <v>1265</v>
      </c>
      <c r="E572" s="24">
        <v>3100</v>
      </c>
      <c r="F572" s="30" t="s">
        <v>1221</v>
      </c>
      <c r="G572" s="24" t="s">
        <v>1296</v>
      </c>
      <c r="H572" s="24" t="s">
        <v>1244</v>
      </c>
      <c r="I572" s="24" t="s">
        <v>1297</v>
      </c>
      <c r="K572" s="24" t="s">
        <v>1224</v>
      </c>
      <c r="L572" s="24" t="s">
        <v>1225</v>
      </c>
      <c r="M572" s="24" t="str">
        <f t="shared" si="8"/>
        <v>XWBRW204</v>
      </c>
    </row>
    <row r="573" spans="1:13" ht="13.2">
      <c r="A573" s="24" t="s">
        <v>1781</v>
      </c>
      <c r="B573" s="24" t="s">
        <v>1771</v>
      </c>
      <c r="C573" s="24">
        <v>0.3</v>
      </c>
      <c r="D573" s="24">
        <v>1265</v>
      </c>
      <c r="E573" s="24">
        <v>3100</v>
      </c>
      <c r="F573" s="30" t="s">
        <v>1221</v>
      </c>
      <c r="G573" s="24" t="s">
        <v>1296</v>
      </c>
      <c r="H573" s="24" t="s">
        <v>1244</v>
      </c>
      <c r="I573" s="24" t="s">
        <v>1297</v>
      </c>
      <c r="K573" s="24" t="s">
        <v>1224</v>
      </c>
      <c r="L573" s="24" t="s">
        <v>1225</v>
      </c>
      <c r="M573" s="24" t="str">
        <f t="shared" si="8"/>
        <v>XWBRW204</v>
      </c>
    </row>
    <row r="574" spans="1:13" ht="13.2">
      <c r="A574" s="24" t="s">
        <v>1782</v>
      </c>
      <c r="B574" s="24" t="s">
        <v>1771</v>
      </c>
      <c r="C574" s="24">
        <v>0.3</v>
      </c>
      <c r="D574" s="24">
        <v>1265</v>
      </c>
      <c r="E574" s="24">
        <v>2520</v>
      </c>
      <c r="F574" s="30" t="s">
        <v>1252</v>
      </c>
      <c r="G574" s="24" t="s">
        <v>1296</v>
      </c>
      <c r="H574" s="24" t="s">
        <v>49</v>
      </c>
      <c r="I574" s="24" t="s">
        <v>1297</v>
      </c>
      <c r="K574" s="24" t="s">
        <v>1224</v>
      </c>
      <c r="L574" s="24" t="s">
        <v>1225</v>
      </c>
      <c r="M574" s="24" t="str">
        <f t="shared" si="8"/>
        <v>XWBRWA01</v>
      </c>
    </row>
    <row r="575" spans="1:13" ht="13.2">
      <c r="A575" s="24" t="s">
        <v>1783</v>
      </c>
      <c r="B575" s="24" t="s">
        <v>1771</v>
      </c>
      <c r="C575" s="24">
        <v>0.3</v>
      </c>
      <c r="D575" s="24">
        <v>1265</v>
      </c>
      <c r="E575" s="24">
        <v>2520</v>
      </c>
      <c r="F575" s="30" t="s">
        <v>1252</v>
      </c>
      <c r="G575" s="24" t="s">
        <v>1296</v>
      </c>
      <c r="H575" s="24" t="s">
        <v>49</v>
      </c>
      <c r="I575" s="24" t="s">
        <v>1297</v>
      </c>
      <c r="K575" s="24" t="s">
        <v>1224</v>
      </c>
      <c r="L575" s="24" t="s">
        <v>1225</v>
      </c>
      <c r="M575" s="24" t="str">
        <f t="shared" si="8"/>
        <v>XWBRWA01</v>
      </c>
    </row>
    <row r="576" spans="1:13" ht="13.2">
      <c r="A576" s="24" t="s">
        <v>1784</v>
      </c>
      <c r="B576" s="24" t="s">
        <v>1771</v>
      </c>
      <c r="C576" s="24">
        <v>0.3</v>
      </c>
      <c r="D576" s="24">
        <v>1265</v>
      </c>
      <c r="E576" s="24">
        <v>2520</v>
      </c>
      <c r="F576" s="30" t="s">
        <v>1252</v>
      </c>
      <c r="G576" s="24" t="s">
        <v>1296</v>
      </c>
      <c r="H576" s="24" t="s">
        <v>1137</v>
      </c>
      <c r="I576" s="24" t="s">
        <v>1297</v>
      </c>
      <c r="K576" s="24" t="s">
        <v>1224</v>
      </c>
      <c r="L576" s="24" t="s">
        <v>1225</v>
      </c>
      <c r="M576" s="24" t="str">
        <f t="shared" si="8"/>
        <v>XWBRWB01</v>
      </c>
    </row>
    <row r="577" spans="1:13" ht="13.2">
      <c r="A577" s="24" t="s">
        <v>370</v>
      </c>
      <c r="B577" s="24" t="s">
        <v>1771</v>
      </c>
      <c r="C577" s="24">
        <v>0.3</v>
      </c>
      <c r="D577" s="24">
        <v>1265</v>
      </c>
      <c r="E577" s="24">
        <v>2520</v>
      </c>
      <c r="F577" s="30" t="s">
        <v>1252</v>
      </c>
      <c r="G577" s="24" t="s">
        <v>1296</v>
      </c>
      <c r="H577" s="24" t="s">
        <v>1137</v>
      </c>
      <c r="I577" s="24" t="s">
        <v>1297</v>
      </c>
      <c r="K577" s="24" t="s">
        <v>1224</v>
      </c>
      <c r="L577" s="24" t="s">
        <v>1225</v>
      </c>
      <c r="M577" s="24" t="str">
        <f t="shared" si="8"/>
        <v>XWBRWB01</v>
      </c>
    </row>
    <row r="578" spans="1:13" ht="13.2">
      <c r="A578" s="24" t="s">
        <v>1785</v>
      </c>
      <c r="B578" s="24" t="s">
        <v>1771</v>
      </c>
      <c r="C578" s="24">
        <v>0.3</v>
      </c>
      <c r="D578" s="24">
        <v>1265</v>
      </c>
      <c r="E578" s="24">
        <v>2520</v>
      </c>
      <c r="F578" s="30" t="s">
        <v>1252</v>
      </c>
      <c r="G578" s="24" t="s">
        <v>1296</v>
      </c>
      <c r="H578" s="24" t="s">
        <v>1278</v>
      </c>
      <c r="I578" s="24" t="s">
        <v>1297</v>
      </c>
      <c r="K578" s="24" t="s">
        <v>1224</v>
      </c>
      <c r="L578" s="24" t="s">
        <v>1225</v>
      </c>
      <c r="M578" s="24" t="str">
        <f t="shared" ref="M578:M641" si="9">RIGHT(A578,8)</f>
        <v>XWBRWC01</v>
      </c>
    </row>
    <row r="579" spans="1:13" ht="13.2">
      <c r="A579" s="24" t="s">
        <v>1786</v>
      </c>
      <c r="B579" s="24" t="s">
        <v>1771</v>
      </c>
      <c r="C579" s="24">
        <v>0.3</v>
      </c>
      <c r="D579" s="24">
        <v>1265</v>
      </c>
      <c r="E579" s="24">
        <v>2520</v>
      </c>
      <c r="F579" s="30" t="s">
        <v>1221</v>
      </c>
      <c r="G579" s="24" t="s">
        <v>1296</v>
      </c>
      <c r="H579" s="24" t="s">
        <v>1278</v>
      </c>
      <c r="I579" s="24" t="s">
        <v>1297</v>
      </c>
      <c r="K579" s="24" t="s">
        <v>1224</v>
      </c>
      <c r="L579" s="24" t="s">
        <v>1225</v>
      </c>
      <c r="M579" s="24" t="str">
        <f t="shared" si="9"/>
        <v>XWBRWC02</v>
      </c>
    </row>
    <row r="580" spans="1:13" ht="13.2">
      <c r="A580" s="24" t="s">
        <v>358</v>
      </c>
      <c r="B580" s="24" t="s">
        <v>1771</v>
      </c>
      <c r="C580" s="24">
        <v>0.3</v>
      </c>
      <c r="D580" s="24">
        <v>1265</v>
      </c>
      <c r="E580" s="24">
        <v>2520</v>
      </c>
      <c r="F580" s="30" t="s">
        <v>1252</v>
      </c>
      <c r="G580" s="24" t="s">
        <v>1296</v>
      </c>
      <c r="H580" s="24" t="s">
        <v>1278</v>
      </c>
      <c r="I580" s="24" t="s">
        <v>1297</v>
      </c>
      <c r="K580" s="24" t="s">
        <v>1224</v>
      </c>
      <c r="L580" s="24" t="s">
        <v>1225</v>
      </c>
      <c r="M580" s="24" t="str">
        <f t="shared" si="9"/>
        <v>XWBRWC01</v>
      </c>
    </row>
    <row r="581" spans="1:13" ht="13.2">
      <c r="A581" s="24" t="s">
        <v>1787</v>
      </c>
      <c r="B581" s="24" t="s">
        <v>1771</v>
      </c>
      <c r="C581" s="24">
        <v>0.3</v>
      </c>
      <c r="D581" s="24">
        <v>1265</v>
      </c>
      <c r="E581" s="24">
        <v>2520</v>
      </c>
      <c r="F581" s="30" t="s">
        <v>1221</v>
      </c>
      <c r="G581" s="24" t="s">
        <v>1296</v>
      </c>
      <c r="H581" s="24" t="s">
        <v>1278</v>
      </c>
      <c r="I581" s="24" t="s">
        <v>1297</v>
      </c>
      <c r="K581" s="24" t="s">
        <v>1224</v>
      </c>
      <c r="L581" s="24" t="s">
        <v>1225</v>
      </c>
      <c r="M581" s="24" t="str">
        <f t="shared" si="9"/>
        <v>XWBRWC02</v>
      </c>
    </row>
    <row r="582" spans="1:13" ht="13.2">
      <c r="A582" s="24" t="s">
        <v>1788</v>
      </c>
      <c r="B582" s="24" t="s">
        <v>1771</v>
      </c>
      <c r="C582" s="24">
        <v>0.3</v>
      </c>
      <c r="D582" s="24">
        <v>1265</v>
      </c>
      <c r="E582" s="24">
        <v>3100</v>
      </c>
      <c r="F582" s="30" t="s">
        <v>1252</v>
      </c>
      <c r="G582" s="24" t="s">
        <v>1296</v>
      </c>
      <c r="H582" s="24" t="s">
        <v>1278</v>
      </c>
      <c r="I582" s="24" t="s">
        <v>1297</v>
      </c>
      <c r="K582" s="24" t="s">
        <v>1224</v>
      </c>
      <c r="L582" s="24" t="s">
        <v>1225</v>
      </c>
      <c r="M582" s="24" t="str">
        <f t="shared" si="9"/>
        <v>XWBRWC03</v>
      </c>
    </row>
    <row r="583" spans="1:13" ht="13.2">
      <c r="A583" s="24" t="s">
        <v>1789</v>
      </c>
      <c r="B583" s="24" t="s">
        <v>1771</v>
      </c>
      <c r="C583" s="24">
        <v>0.3</v>
      </c>
      <c r="D583" s="24">
        <v>1265</v>
      </c>
      <c r="E583" s="24">
        <v>3100</v>
      </c>
      <c r="F583" s="30" t="s">
        <v>1252</v>
      </c>
      <c r="G583" s="24" t="s">
        <v>1296</v>
      </c>
      <c r="H583" s="24" t="s">
        <v>1278</v>
      </c>
      <c r="I583" s="24" t="s">
        <v>1297</v>
      </c>
      <c r="K583" s="24" t="s">
        <v>1224</v>
      </c>
      <c r="L583" s="24" t="s">
        <v>1225</v>
      </c>
      <c r="M583" s="24" t="str">
        <f t="shared" si="9"/>
        <v>XWBRWC03</v>
      </c>
    </row>
    <row r="584" spans="1:13" ht="13.2">
      <c r="A584" s="24" t="s">
        <v>1790</v>
      </c>
      <c r="B584" s="24" t="s">
        <v>1771</v>
      </c>
      <c r="C584" s="24">
        <v>0.3</v>
      </c>
      <c r="D584" s="24">
        <v>1265</v>
      </c>
      <c r="E584" s="24">
        <v>2520</v>
      </c>
      <c r="F584" s="30" t="s">
        <v>1240</v>
      </c>
      <c r="G584" s="24" t="s">
        <v>1296</v>
      </c>
      <c r="H584" s="24" t="s">
        <v>1302</v>
      </c>
      <c r="I584" s="24" t="s">
        <v>1297</v>
      </c>
      <c r="K584" s="24" t="s">
        <v>1224</v>
      </c>
      <c r="L584" s="24" t="s">
        <v>1225</v>
      </c>
      <c r="M584" s="24" t="str">
        <f t="shared" si="9"/>
        <v>XWBRWD01</v>
      </c>
    </row>
    <row r="585" spans="1:13" ht="13.2">
      <c r="A585" s="24" t="s">
        <v>363</v>
      </c>
      <c r="B585" s="24" t="s">
        <v>1771</v>
      </c>
      <c r="C585" s="24">
        <v>0.3</v>
      </c>
      <c r="D585" s="24">
        <v>1265</v>
      </c>
      <c r="E585" s="24">
        <v>2520</v>
      </c>
      <c r="F585" s="30" t="s">
        <v>1240</v>
      </c>
      <c r="G585" s="24" t="s">
        <v>1296</v>
      </c>
      <c r="H585" s="24" t="s">
        <v>1302</v>
      </c>
      <c r="I585" s="24" t="s">
        <v>1297</v>
      </c>
      <c r="K585" s="24" t="s">
        <v>1224</v>
      </c>
      <c r="L585" s="24" t="s">
        <v>1225</v>
      </c>
      <c r="M585" s="24" t="str">
        <f t="shared" si="9"/>
        <v>XWBRWD01</v>
      </c>
    </row>
    <row r="586" spans="1:13" ht="13.2">
      <c r="A586" s="24" t="s">
        <v>1791</v>
      </c>
      <c r="B586" s="24" t="s">
        <v>1771</v>
      </c>
      <c r="C586" s="24">
        <v>0.3</v>
      </c>
      <c r="D586" s="24">
        <v>1265</v>
      </c>
      <c r="E586" s="24">
        <v>2520</v>
      </c>
      <c r="F586" s="30" t="s">
        <v>1221</v>
      </c>
      <c r="G586" s="24" t="s">
        <v>1296</v>
      </c>
      <c r="H586" s="24" t="s">
        <v>1792</v>
      </c>
      <c r="I586" s="24" t="s">
        <v>1297</v>
      </c>
      <c r="K586" s="24" t="s">
        <v>1224</v>
      </c>
      <c r="L586" s="24" t="s">
        <v>1225</v>
      </c>
      <c r="M586" s="24" t="str">
        <f t="shared" si="9"/>
        <v>XWBRWD06</v>
      </c>
    </row>
    <row r="587" spans="1:13" ht="13.2">
      <c r="A587" s="24" t="s">
        <v>382</v>
      </c>
      <c r="B587" s="24" t="s">
        <v>1771</v>
      </c>
      <c r="C587" s="24">
        <v>0.3</v>
      </c>
      <c r="D587" s="24">
        <v>1265</v>
      </c>
      <c r="E587" s="24">
        <v>2520</v>
      </c>
      <c r="F587" s="30" t="s">
        <v>1221</v>
      </c>
      <c r="G587" s="24" t="s">
        <v>1296</v>
      </c>
      <c r="H587" s="24" t="s">
        <v>1792</v>
      </c>
      <c r="I587" s="24" t="s">
        <v>1297</v>
      </c>
      <c r="K587" s="24" t="s">
        <v>1224</v>
      </c>
      <c r="L587" s="24" t="s">
        <v>1225</v>
      </c>
      <c r="M587" s="24" t="str">
        <f t="shared" si="9"/>
        <v>XWBRWD06</v>
      </c>
    </row>
    <row r="588" spans="1:13" ht="13.2">
      <c r="A588" s="24" t="s">
        <v>1793</v>
      </c>
      <c r="B588" s="24" t="s">
        <v>1771</v>
      </c>
      <c r="C588" s="24">
        <v>0.3</v>
      </c>
      <c r="D588" s="24">
        <v>1265</v>
      </c>
      <c r="E588" s="24">
        <v>2520</v>
      </c>
      <c r="F588" s="30" t="s">
        <v>1221</v>
      </c>
      <c r="G588" s="24" t="s">
        <v>1296</v>
      </c>
      <c r="H588" s="24" t="s">
        <v>1794</v>
      </c>
      <c r="I588" s="24" t="s">
        <v>1297</v>
      </c>
      <c r="K588" s="24" t="s">
        <v>1224</v>
      </c>
      <c r="L588" s="24" t="s">
        <v>1225</v>
      </c>
      <c r="M588" s="24" t="str">
        <f t="shared" si="9"/>
        <v>XWBRWD02</v>
      </c>
    </row>
    <row r="589" spans="1:13" ht="13.2">
      <c r="A589" s="24" t="s">
        <v>1795</v>
      </c>
      <c r="B589" s="24" t="s">
        <v>1771</v>
      </c>
      <c r="C589" s="24">
        <v>0.3</v>
      </c>
      <c r="D589" s="24">
        <v>1265</v>
      </c>
      <c r="E589" s="24">
        <v>2520</v>
      </c>
      <c r="F589" s="30" t="s">
        <v>1252</v>
      </c>
      <c r="G589" s="24" t="s">
        <v>1296</v>
      </c>
      <c r="H589" s="24" t="s">
        <v>1794</v>
      </c>
      <c r="I589" s="24" t="s">
        <v>1297</v>
      </c>
      <c r="K589" s="24" t="s">
        <v>1224</v>
      </c>
      <c r="L589" s="24" t="s">
        <v>1225</v>
      </c>
      <c r="M589" s="24" t="str">
        <f t="shared" si="9"/>
        <v>XWBRWD04</v>
      </c>
    </row>
    <row r="590" spans="1:13" ht="13.2">
      <c r="A590" s="24" t="s">
        <v>1796</v>
      </c>
      <c r="B590" s="24" t="s">
        <v>1771</v>
      </c>
      <c r="C590" s="24">
        <v>0.3</v>
      </c>
      <c r="D590" s="24">
        <v>1265</v>
      </c>
      <c r="E590" s="24">
        <v>2520</v>
      </c>
      <c r="F590" s="30" t="s">
        <v>1221</v>
      </c>
      <c r="G590" s="24" t="s">
        <v>1296</v>
      </c>
      <c r="H590" s="24" t="s">
        <v>1794</v>
      </c>
      <c r="I590" s="24" t="s">
        <v>1297</v>
      </c>
      <c r="K590" s="24" t="s">
        <v>1224</v>
      </c>
      <c r="L590" s="24" t="s">
        <v>1225</v>
      </c>
      <c r="M590" s="24" t="str">
        <f t="shared" si="9"/>
        <v>XWBRWD02</v>
      </c>
    </row>
    <row r="591" spans="1:13" ht="13.2">
      <c r="A591" s="24" t="s">
        <v>396</v>
      </c>
      <c r="B591" s="24" t="s">
        <v>1771</v>
      </c>
      <c r="C591" s="24">
        <v>0.3</v>
      </c>
      <c r="D591" s="24">
        <v>1265</v>
      </c>
      <c r="E591" s="24">
        <v>2520</v>
      </c>
      <c r="F591" s="30" t="s">
        <v>1252</v>
      </c>
      <c r="G591" s="24" t="s">
        <v>1296</v>
      </c>
      <c r="H591" s="24" t="s">
        <v>1794</v>
      </c>
      <c r="I591" s="24" t="s">
        <v>1297</v>
      </c>
      <c r="K591" s="24" t="s">
        <v>1224</v>
      </c>
      <c r="L591" s="24" t="s">
        <v>1225</v>
      </c>
      <c r="M591" s="24" t="str">
        <f t="shared" si="9"/>
        <v>XWBRWD04</v>
      </c>
    </row>
    <row r="592" spans="1:13" ht="13.2">
      <c r="A592" s="24" t="s">
        <v>1797</v>
      </c>
      <c r="B592" s="24" t="s">
        <v>1771</v>
      </c>
      <c r="C592" s="24">
        <v>0.3</v>
      </c>
      <c r="D592" s="24">
        <v>1265</v>
      </c>
      <c r="E592" s="24">
        <v>2520</v>
      </c>
      <c r="F592" s="30" t="s">
        <v>1252</v>
      </c>
      <c r="G592" s="24" t="s">
        <v>1296</v>
      </c>
      <c r="H592" s="24" t="s">
        <v>1798</v>
      </c>
      <c r="I592" s="24" t="s">
        <v>1297</v>
      </c>
      <c r="K592" s="24" t="s">
        <v>1224</v>
      </c>
      <c r="L592" s="24" t="s">
        <v>1225</v>
      </c>
      <c r="M592" s="24" t="str">
        <f t="shared" si="9"/>
        <v>XWBRWD05</v>
      </c>
    </row>
    <row r="593" spans="1:13" ht="13.2">
      <c r="A593" s="24" t="s">
        <v>379</v>
      </c>
      <c r="B593" s="24" t="s">
        <v>1771</v>
      </c>
      <c r="C593" s="24">
        <v>0.3</v>
      </c>
      <c r="D593" s="24">
        <v>1265</v>
      </c>
      <c r="E593" s="24">
        <v>2520</v>
      </c>
      <c r="F593" s="30" t="s">
        <v>1252</v>
      </c>
      <c r="G593" s="24" t="s">
        <v>1296</v>
      </c>
      <c r="H593" s="24" t="s">
        <v>1798</v>
      </c>
      <c r="I593" s="24" t="s">
        <v>1297</v>
      </c>
      <c r="K593" s="24" t="s">
        <v>1224</v>
      </c>
      <c r="L593" s="24" t="s">
        <v>1225</v>
      </c>
      <c r="M593" s="24" t="str">
        <f t="shared" si="9"/>
        <v>XWBRWD05</v>
      </c>
    </row>
    <row r="594" spans="1:13" ht="13.2">
      <c r="A594" s="24" t="s">
        <v>1799</v>
      </c>
      <c r="B594" s="24" t="s">
        <v>1771</v>
      </c>
      <c r="C594" s="24">
        <v>0.3</v>
      </c>
      <c r="D594" s="24">
        <v>1265</v>
      </c>
      <c r="E594" s="24">
        <v>2520</v>
      </c>
      <c r="F594" s="30" t="s">
        <v>1221</v>
      </c>
      <c r="G594" s="24" t="s">
        <v>1296</v>
      </c>
      <c r="H594" s="24" t="s">
        <v>1305</v>
      </c>
      <c r="I594" s="24" t="s">
        <v>1297</v>
      </c>
      <c r="K594" s="24" t="s">
        <v>1224</v>
      </c>
      <c r="L594" s="24" t="s">
        <v>1225</v>
      </c>
      <c r="M594" s="24" t="str">
        <f t="shared" si="9"/>
        <v>XWBRWE01</v>
      </c>
    </row>
    <row r="595" spans="1:13" ht="13.2">
      <c r="A595" s="24" t="s">
        <v>364</v>
      </c>
      <c r="B595" s="24" t="s">
        <v>1771</v>
      </c>
      <c r="C595" s="24">
        <v>0.3</v>
      </c>
      <c r="D595" s="24">
        <v>1265</v>
      </c>
      <c r="E595" s="24">
        <v>2520</v>
      </c>
      <c r="F595" s="30" t="s">
        <v>1221</v>
      </c>
      <c r="G595" s="24" t="s">
        <v>1296</v>
      </c>
      <c r="H595" s="24" t="s">
        <v>1305</v>
      </c>
      <c r="I595" s="24" t="s">
        <v>1297</v>
      </c>
      <c r="K595" s="24" t="s">
        <v>1224</v>
      </c>
      <c r="L595" s="24" t="s">
        <v>1225</v>
      </c>
      <c r="M595" s="24" t="str">
        <f t="shared" si="9"/>
        <v>XWBRWE01</v>
      </c>
    </row>
    <row r="596" spans="1:13" ht="13.2">
      <c r="A596" s="24" t="s">
        <v>1800</v>
      </c>
      <c r="B596" s="24" t="s">
        <v>1771</v>
      </c>
      <c r="C596" s="24">
        <v>0.5</v>
      </c>
      <c r="D596" s="24">
        <v>965</v>
      </c>
      <c r="E596" s="24">
        <v>2200</v>
      </c>
      <c r="F596" s="30" t="s">
        <v>1252</v>
      </c>
      <c r="G596" s="24" t="s">
        <v>1222</v>
      </c>
      <c r="H596" s="24" t="s">
        <v>1380</v>
      </c>
      <c r="I596" s="24" t="s">
        <v>1223</v>
      </c>
      <c r="K596" s="24" t="s">
        <v>1224</v>
      </c>
      <c r="L596" s="24" t="s">
        <v>1339</v>
      </c>
      <c r="M596" s="24" t="str">
        <f t="shared" si="9"/>
        <v>XWBPBA07</v>
      </c>
    </row>
    <row r="597" spans="1:13" ht="13.2">
      <c r="A597" s="24" t="s">
        <v>985</v>
      </c>
      <c r="B597" s="24" t="s">
        <v>1771</v>
      </c>
      <c r="C597" s="24">
        <v>0.5</v>
      </c>
      <c r="D597" s="24">
        <v>965</v>
      </c>
      <c r="E597" s="24">
        <v>2200</v>
      </c>
      <c r="F597" s="30" t="s">
        <v>1252</v>
      </c>
      <c r="G597" s="24" t="s">
        <v>1222</v>
      </c>
      <c r="H597" s="24" t="s">
        <v>1380</v>
      </c>
      <c r="I597" s="24" t="s">
        <v>1223</v>
      </c>
      <c r="K597" s="24" t="s">
        <v>1224</v>
      </c>
      <c r="L597" s="24" t="s">
        <v>1339</v>
      </c>
      <c r="M597" s="24" t="str">
        <f t="shared" si="9"/>
        <v>XWBPBA07</v>
      </c>
    </row>
    <row r="598" spans="1:13" ht="13.2">
      <c r="A598" s="24" t="s">
        <v>1801</v>
      </c>
      <c r="B598" s="24" t="s">
        <v>1771</v>
      </c>
      <c r="C598" s="24">
        <v>0.5</v>
      </c>
      <c r="D598" s="24">
        <v>965</v>
      </c>
      <c r="E598" s="24">
        <v>2250</v>
      </c>
      <c r="F598" s="30" t="s">
        <v>1252</v>
      </c>
      <c r="G598" s="24" t="s">
        <v>1222</v>
      </c>
      <c r="H598" s="24" t="s">
        <v>1380</v>
      </c>
      <c r="I598" s="24" t="s">
        <v>1223</v>
      </c>
      <c r="K598" s="24" t="s">
        <v>1224</v>
      </c>
      <c r="L598" s="24" t="s">
        <v>1339</v>
      </c>
      <c r="M598" s="24" t="str">
        <f t="shared" si="9"/>
        <v>XWBPBA01</v>
      </c>
    </row>
    <row r="599" spans="1:13" ht="13.2">
      <c r="A599" s="24" t="s">
        <v>988</v>
      </c>
      <c r="B599" s="24" t="s">
        <v>1771</v>
      </c>
      <c r="C599" s="24">
        <v>0.5</v>
      </c>
      <c r="D599" s="24">
        <v>965</v>
      </c>
      <c r="E599" s="24">
        <v>2250</v>
      </c>
      <c r="F599" s="30" t="s">
        <v>1252</v>
      </c>
      <c r="G599" s="24" t="s">
        <v>1222</v>
      </c>
      <c r="H599" s="24" t="s">
        <v>1380</v>
      </c>
      <c r="I599" s="24" t="s">
        <v>1223</v>
      </c>
      <c r="K599" s="24" t="s">
        <v>1224</v>
      </c>
      <c r="L599" s="24" t="s">
        <v>1339</v>
      </c>
      <c r="M599" s="24" t="str">
        <f t="shared" si="9"/>
        <v>XWBPBA01</v>
      </c>
    </row>
    <row r="600" spans="1:13" ht="13.2">
      <c r="A600" s="24" t="s">
        <v>1802</v>
      </c>
      <c r="B600" s="24" t="s">
        <v>1771</v>
      </c>
      <c r="C600" s="24">
        <v>0.5</v>
      </c>
      <c r="D600" s="24">
        <v>965</v>
      </c>
      <c r="E600" s="24">
        <v>2520</v>
      </c>
      <c r="F600" s="30" t="s">
        <v>1252</v>
      </c>
      <c r="G600" s="24" t="s">
        <v>1222</v>
      </c>
      <c r="H600" s="24" t="s">
        <v>1380</v>
      </c>
      <c r="I600" s="24" t="s">
        <v>1223</v>
      </c>
      <c r="K600" s="24" t="s">
        <v>1224</v>
      </c>
      <c r="L600" s="24" t="s">
        <v>1339</v>
      </c>
      <c r="M600" s="24" t="str">
        <f t="shared" si="9"/>
        <v>XWBPBA02</v>
      </c>
    </row>
    <row r="601" spans="1:13" ht="13.2">
      <c r="A601" s="24" t="s">
        <v>1803</v>
      </c>
      <c r="B601" s="24" t="s">
        <v>1771</v>
      </c>
      <c r="C601" s="24">
        <v>0.5</v>
      </c>
      <c r="D601" s="24">
        <v>1265</v>
      </c>
      <c r="E601" s="24">
        <v>2520</v>
      </c>
      <c r="F601" s="30" t="s">
        <v>1252</v>
      </c>
      <c r="G601" s="24" t="s">
        <v>1222</v>
      </c>
      <c r="H601" s="24" t="s">
        <v>1380</v>
      </c>
      <c r="I601" s="24" t="s">
        <v>1223</v>
      </c>
      <c r="K601" s="24" t="s">
        <v>1224</v>
      </c>
      <c r="L601" s="24" t="s">
        <v>1339</v>
      </c>
      <c r="M601" s="24" t="str">
        <f t="shared" si="9"/>
        <v>XWBPBA03</v>
      </c>
    </row>
    <row r="602" spans="1:13" ht="13.2">
      <c r="A602" s="24" t="s">
        <v>991</v>
      </c>
      <c r="B602" s="24" t="s">
        <v>1771</v>
      </c>
      <c r="C602" s="24">
        <v>0.5</v>
      </c>
      <c r="D602" s="24">
        <v>965</v>
      </c>
      <c r="E602" s="24">
        <v>2520</v>
      </c>
      <c r="F602" s="30" t="s">
        <v>1252</v>
      </c>
      <c r="G602" s="24" t="s">
        <v>1222</v>
      </c>
      <c r="H602" s="24" t="s">
        <v>1380</v>
      </c>
      <c r="I602" s="24" t="s">
        <v>1223</v>
      </c>
      <c r="K602" s="24" t="s">
        <v>1224</v>
      </c>
      <c r="L602" s="24" t="s">
        <v>1339</v>
      </c>
      <c r="M602" s="24" t="str">
        <f t="shared" si="9"/>
        <v>XWBPBA02</v>
      </c>
    </row>
    <row r="603" spans="1:13" ht="13.2">
      <c r="A603" s="24" t="s">
        <v>997</v>
      </c>
      <c r="B603" s="24" t="s">
        <v>1771</v>
      </c>
      <c r="C603" s="24">
        <v>0.5</v>
      </c>
      <c r="D603" s="24">
        <v>1265</v>
      </c>
      <c r="E603" s="24">
        <v>2520</v>
      </c>
      <c r="F603" s="24" t="s">
        <v>1252</v>
      </c>
      <c r="G603" s="24" t="s">
        <v>1222</v>
      </c>
      <c r="H603" s="24" t="s">
        <v>1380</v>
      </c>
      <c r="I603" s="24" t="s">
        <v>1223</v>
      </c>
      <c r="K603" s="24" t="s">
        <v>1224</v>
      </c>
      <c r="L603" s="24" t="s">
        <v>1339</v>
      </c>
      <c r="M603" s="24" t="str">
        <f t="shared" si="9"/>
        <v>XWBPBA03</v>
      </c>
    </row>
    <row r="604" spans="1:13" ht="13.2">
      <c r="A604" s="24" t="s">
        <v>1804</v>
      </c>
      <c r="B604" s="24" t="s">
        <v>1771</v>
      </c>
      <c r="C604" s="24">
        <v>0.5</v>
      </c>
      <c r="D604" s="24">
        <v>965</v>
      </c>
      <c r="E604" s="24">
        <v>2800</v>
      </c>
      <c r="F604" s="30" t="s">
        <v>1252</v>
      </c>
      <c r="G604" s="24" t="s">
        <v>1222</v>
      </c>
      <c r="H604" s="24" t="s">
        <v>1380</v>
      </c>
      <c r="I604" s="24" t="s">
        <v>1223</v>
      </c>
      <c r="K604" s="24" t="s">
        <v>1224</v>
      </c>
      <c r="L604" s="24" t="s">
        <v>1339</v>
      </c>
      <c r="M604" s="24" t="str">
        <f t="shared" si="9"/>
        <v>XWBPBA08</v>
      </c>
    </row>
    <row r="605" spans="1:13" ht="13.2">
      <c r="A605" s="24" t="s">
        <v>994</v>
      </c>
      <c r="B605" s="24" t="s">
        <v>1771</v>
      </c>
      <c r="C605" s="24">
        <v>0.5</v>
      </c>
      <c r="D605" s="24">
        <v>965</v>
      </c>
      <c r="E605" s="24">
        <v>2800</v>
      </c>
      <c r="F605" s="30" t="s">
        <v>1252</v>
      </c>
      <c r="G605" s="24" t="s">
        <v>1222</v>
      </c>
      <c r="H605" s="24" t="s">
        <v>1380</v>
      </c>
      <c r="I605" s="24" t="s">
        <v>1223</v>
      </c>
      <c r="K605" s="24" t="s">
        <v>1224</v>
      </c>
      <c r="L605" s="24" t="s">
        <v>1339</v>
      </c>
      <c r="M605" s="24" t="str">
        <f t="shared" si="9"/>
        <v>XWBPBA08</v>
      </c>
    </row>
    <row r="606" spans="1:13" ht="13.2">
      <c r="A606" s="24" t="s">
        <v>1805</v>
      </c>
      <c r="B606" s="24" t="s">
        <v>1771</v>
      </c>
      <c r="C606" s="24">
        <v>0.5</v>
      </c>
      <c r="D606" s="24">
        <v>965</v>
      </c>
      <c r="E606" s="24">
        <v>2250</v>
      </c>
      <c r="F606" s="30" t="s">
        <v>1252</v>
      </c>
      <c r="G606" s="24" t="s">
        <v>1222</v>
      </c>
      <c r="H606" s="24" t="s">
        <v>1380</v>
      </c>
      <c r="I606" s="24" t="s">
        <v>1806</v>
      </c>
      <c r="K606" s="24" t="s">
        <v>1224</v>
      </c>
      <c r="L606" s="24" t="s">
        <v>1339</v>
      </c>
      <c r="M606" s="24" t="str">
        <f t="shared" si="9"/>
        <v>XWBPBA04</v>
      </c>
    </row>
    <row r="607" spans="1:13" ht="13.2">
      <c r="A607" s="24" t="s">
        <v>1807</v>
      </c>
      <c r="B607" s="24" t="s">
        <v>1771</v>
      </c>
      <c r="C607" s="24">
        <v>0.5</v>
      </c>
      <c r="D607" s="24">
        <v>965</v>
      </c>
      <c r="E607" s="24">
        <v>2250</v>
      </c>
      <c r="F607" s="30" t="s">
        <v>1252</v>
      </c>
      <c r="G607" s="24" t="s">
        <v>1222</v>
      </c>
      <c r="H607" s="24" t="s">
        <v>1380</v>
      </c>
      <c r="I607" s="24" t="s">
        <v>1806</v>
      </c>
      <c r="K607" s="24" t="s">
        <v>1224</v>
      </c>
      <c r="L607" s="24" t="s">
        <v>1339</v>
      </c>
      <c r="M607" s="24" t="str">
        <f t="shared" si="9"/>
        <v>XWBPBA04</v>
      </c>
    </row>
    <row r="608" spans="1:13" ht="13.2">
      <c r="A608" s="24" t="s">
        <v>1808</v>
      </c>
      <c r="B608" s="24" t="s">
        <v>1771</v>
      </c>
      <c r="C608" s="24">
        <v>0.5</v>
      </c>
      <c r="D608" s="24">
        <v>965</v>
      </c>
      <c r="E608" s="24">
        <v>2250</v>
      </c>
      <c r="F608" s="30" t="s">
        <v>1252</v>
      </c>
      <c r="G608" s="24" t="s">
        <v>1222</v>
      </c>
      <c r="H608" s="24" t="s">
        <v>1380</v>
      </c>
      <c r="I608" s="24" t="s">
        <v>1388</v>
      </c>
      <c r="K608" s="24" t="s">
        <v>1224</v>
      </c>
      <c r="L608" s="24" t="s">
        <v>1339</v>
      </c>
      <c r="M608" s="24" t="str">
        <f t="shared" si="9"/>
        <v>XWBPBA05</v>
      </c>
    </row>
    <row r="609" spans="1:13" ht="13.2">
      <c r="A609" s="24" t="s">
        <v>1809</v>
      </c>
      <c r="B609" s="24" t="s">
        <v>1771</v>
      </c>
      <c r="C609" s="24">
        <v>0.5</v>
      </c>
      <c r="D609" s="24">
        <v>965</v>
      </c>
      <c r="E609" s="24">
        <v>2250</v>
      </c>
      <c r="F609" s="30" t="s">
        <v>1252</v>
      </c>
      <c r="G609" s="24" t="s">
        <v>1222</v>
      </c>
      <c r="H609" s="24" t="s">
        <v>1380</v>
      </c>
      <c r="I609" s="24" t="s">
        <v>1388</v>
      </c>
      <c r="K609" s="24" t="s">
        <v>1224</v>
      </c>
      <c r="L609" s="24" t="s">
        <v>1339</v>
      </c>
      <c r="M609" s="24" t="str">
        <f t="shared" si="9"/>
        <v>XWBPBA05</v>
      </c>
    </row>
    <row r="610" spans="1:13" ht="13.2">
      <c r="A610" s="24" t="s">
        <v>1810</v>
      </c>
      <c r="B610" s="24" t="s">
        <v>1771</v>
      </c>
      <c r="C610" s="24">
        <v>0.5</v>
      </c>
      <c r="D610" s="24">
        <v>965</v>
      </c>
      <c r="E610" s="24">
        <v>2520</v>
      </c>
      <c r="F610" s="30" t="s">
        <v>1252</v>
      </c>
      <c r="G610" s="24" t="s">
        <v>1222</v>
      </c>
      <c r="H610" s="24" t="s">
        <v>1380</v>
      </c>
      <c r="I610" s="24" t="s">
        <v>1388</v>
      </c>
      <c r="K610" s="24" t="s">
        <v>1224</v>
      </c>
      <c r="L610" s="24" t="s">
        <v>1339</v>
      </c>
      <c r="M610" s="24" t="str">
        <f t="shared" si="9"/>
        <v>XWBPBA06</v>
      </c>
    </row>
    <row r="611" spans="1:13" ht="13.2">
      <c r="A611" s="24" t="s">
        <v>1811</v>
      </c>
      <c r="B611" s="24" t="s">
        <v>1771</v>
      </c>
      <c r="C611" s="24">
        <v>0.5</v>
      </c>
      <c r="D611" s="24">
        <v>965</v>
      </c>
      <c r="E611" s="24">
        <v>2520</v>
      </c>
      <c r="F611" s="24" t="s">
        <v>1252</v>
      </c>
      <c r="G611" s="24" t="s">
        <v>1222</v>
      </c>
      <c r="H611" s="24" t="s">
        <v>1380</v>
      </c>
      <c r="I611" s="24" t="s">
        <v>1388</v>
      </c>
      <c r="K611" s="24" t="s">
        <v>1224</v>
      </c>
      <c r="L611" s="24" t="s">
        <v>1339</v>
      </c>
      <c r="M611" s="24" t="str">
        <f t="shared" si="9"/>
        <v>XWBPBA06</v>
      </c>
    </row>
    <row r="612" spans="1:13" ht="13.2">
      <c r="A612" s="24" t="s">
        <v>1812</v>
      </c>
      <c r="B612" s="24" t="s">
        <v>1771</v>
      </c>
      <c r="C612" s="24">
        <v>0.5</v>
      </c>
      <c r="D612" s="24">
        <v>965</v>
      </c>
      <c r="E612" s="24">
        <v>2250</v>
      </c>
      <c r="F612" s="30" t="s">
        <v>1252</v>
      </c>
      <c r="G612" s="24" t="s">
        <v>1222</v>
      </c>
      <c r="H612" s="24" t="s">
        <v>1813</v>
      </c>
      <c r="I612" s="24" t="s">
        <v>1223</v>
      </c>
      <c r="K612" s="24" t="s">
        <v>1224</v>
      </c>
      <c r="L612" s="24" t="s">
        <v>1339</v>
      </c>
      <c r="M612" s="24" t="str">
        <f t="shared" si="9"/>
        <v>XWBPBP01</v>
      </c>
    </row>
    <row r="613" spans="1:13" ht="13.2">
      <c r="A613" s="24" t="s">
        <v>1021</v>
      </c>
      <c r="B613" s="24" t="s">
        <v>1771</v>
      </c>
      <c r="C613" s="24">
        <v>0.5</v>
      </c>
      <c r="D613" s="24">
        <v>965</v>
      </c>
      <c r="E613" s="24">
        <v>2250</v>
      </c>
      <c r="F613" s="30" t="s">
        <v>1252</v>
      </c>
      <c r="G613" s="24" t="s">
        <v>1222</v>
      </c>
      <c r="H613" s="24" t="s">
        <v>1813</v>
      </c>
      <c r="I613" s="24" t="s">
        <v>1223</v>
      </c>
      <c r="K613" s="24" t="s">
        <v>1224</v>
      </c>
      <c r="L613" s="24" t="s">
        <v>1339</v>
      </c>
      <c r="M613" s="24" t="str">
        <f t="shared" si="9"/>
        <v>XWBPBP01</v>
      </c>
    </row>
    <row r="614" spans="1:13" ht="13.2">
      <c r="A614" s="24" t="s">
        <v>1814</v>
      </c>
      <c r="B614" s="24" t="s">
        <v>1771</v>
      </c>
      <c r="C614" s="24">
        <v>0.5</v>
      </c>
      <c r="D614" s="24">
        <v>1265</v>
      </c>
      <c r="E614" s="24">
        <v>2520</v>
      </c>
      <c r="F614" s="30" t="s">
        <v>1221</v>
      </c>
      <c r="G614" s="24" t="s">
        <v>1296</v>
      </c>
      <c r="H614" s="24" t="s">
        <v>1109</v>
      </c>
      <c r="I614" s="24" t="s">
        <v>1230</v>
      </c>
      <c r="K614" s="24" t="s">
        <v>1224</v>
      </c>
      <c r="L614" s="24" t="s">
        <v>1225</v>
      </c>
      <c r="M614" s="24" t="str">
        <f t="shared" si="9"/>
        <v>XWBRM101</v>
      </c>
    </row>
    <row r="615" spans="1:13" ht="13.2">
      <c r="A615" s="24" t="s">
        <v>1815</v>
      </c>
      <c r="B615" s="24" t="s">
        <v>1771</v>
      </c>
      <c r="C615" s="24">
        <v>0.5</v>
      </c>
      <c r="D615" s="24">
        <v>1265</v>
      </c>
      <c r="E615" s="24">
        <v>2520</v>
      </c>
      <c r="F615" s="30" t="s">
        <v>1221</v>
      </c>
      <c r="G615" s="24" t="s">
        <v>1296</v>
      </c>
      <c r="H615" s="24" t="s">
        <v>1109</v>
      </c>
      <c r="I615" s="24" t="s">
        <v>1230</v>
      </c>
      <c r="K615" s="24" t="s">
        <v>1224</v>
      </c>
      <c r="L615" s="24" t="s">
        <v>1225</v>
      </c>
      <c r="M615" s="24" t="str">
        <f t="shared" si="9"/>
        <v>XWBRM101</v>
      </c>
    </row>
    <row r="616" spans="1:13" ht="13.2">
      <c r="A616" s="24" t="s">
        <v>1816</v>
      </c>
      <c r="B616" s="24" t="s">
        <v>1771</v>
      </c>
      <c r="C616" s="24">
        <v>0.5</v>
      </c>
      <c r="D616" s="24">
        <v>1265</v>
      </c>
      <c r="E616" s="24">
        <v>2520</v>
      </c>
      <c r="F616" s="30" t="s">
        <v>1221</v>
      </c>
      <c r="G616" s="24" t="s">
        <v>1296</v>
      </c>
      <c r="H616" s="24" t="s">
        <v>1109</v>
      </c>
      <c r="I616" s="24" t="s">
        <v>1297</v>
      </c>
      <c r="K616" s="24" t="s">
        <v>1224</v>
      </c>
      <c r="L616" s="24" t="s">
        <v>1225</v>
      </c>
      <c r="M616" s="24" t="str">
        <f t="shared" si="9"/>
        <v>XWBRW105</v>
      </c>
    </row>
    <row r="617" spans="1:13" ht="13.2">
      <c r="A617" s="24" t="s">
        <v>1817</v>
      </c>
      <c r="B617" s="24" t="s">
        <v>1771</v>
      </c>
      <c r="C617" s="24">
        <v>0.5</v>
      </c>
      <c r="D617" s="24">
        <v>1265</v>
      </c>
      <c r="E617" s="24">
        <v>2520</v>
      </c>
      <c r="F617" s="30" t="s">
        <v>1221</v>
      </c>
      <c r="G617" s="24" t="s">
        <v>1296</v>
      </c>
      <c r="H617" s="24" t="s">
        <v>1109</v>
      </c>
      <c r="I617" s="24" t="s">
        <v>1297</v>
      </c>
      <c r="K617" s="24" t="s">
        <v>1224</v>
      </c>
      <c r="L617" s="24" t="s">
        <v>1225</v>
      </c>
      <c r="M617" s="24" t="str">
        <f t="shared" si="9"/>
        <v>XWBRW105</v>
      </c>
    </row>
    <row r="618" spans="1:13" ht="13.2">
      <c r="A618" s="24" t="s">
        <v>1818</v>
      </c>
      <c r="B618" s="24" t="s">
        <v>1771</v>
      </c>
      <c r="C618" s="24">
        <v>0.5</v>
      </c>
      <c r="D618" s="24">
        <v>1265</v>
      </c>
      <c r="E618" s="24">
        <v>2520</v>
      </c>
      <c r="F618" s="30" t="s">
        <v>1252</v>
      </c>
      <c r="G618" s="24" t="s">
        <v>1296</v>
      </c>
      <c r="H618" s="24" t="s">
        <v>49</v>
      </c>
      <c r="I618" s="24" t="s">
        <v>1297</v>
      </c>
      <c r="K618" s="24" t="s">
        <v>1224</v>
      </c>
      <c r="L618" s="24" t="s">
        <v>1225</v>
      </c>
      <c r="M618" s="24" t="str">
        <f t="shared" si="9"/>
        <v>XWBRWA03</v>
      </c>
    </row>
    <row r="619" spans="1:13" ht="13.2">
      <c r="A619" s="24" t="s">
        <v>1819</v>
      </c>
      <c r="B619" s="24" t="s">
        <v>1771</v>
      </c>
      <c r="C619" s="24">
        <v>0.5</v>
      </c>
      <c r="D619" s="24">
        <v>1265</v>
      </c>
      <c r="E619" s="24">
        <v>2520</v>
      </c>
      <c r="F619" s="30" t="s">
        <v>1252</v>
      </c>
      <c r="G619" s="24" t="s">
        <v>1296</v>
      </c>
      <c r="H619" s="24" t="s">
        <v>49</v>
      </c>
      <c r="I619" s="24" t="s">
        <v>1297</v>
      </c>
      <c r="K619" s="24" t="s">
        <v>1224</v>
      </c>
      <c r="L619" s="24" t="s">
        <v>1225</v>
      </c>
      <c r="M619" s="24" t="str">
        <f t="shared" si="9"/>
        <v>XWBRWA03</v>
      </c>
    </row>
    <row r="620" spans="1:13" ht="13.2">
      <c r="A620" s="24" t="s">
        <v>1820</v>
      </c>
      <c r="B620" s="24" t="s">
        <v>1771</v>
      </c>
      <c r="C620" s="24">
        <v>0.5</v>
      </c>
      <c r="D620" s="24">
        <v>1265</v>
      </c>
      <c r="E620" s="24">
        <v>2520</v>
      </c>
      <c r="F620" s="30" t="s">
        <v>1252</v>
      </c>
      <c r="G620" s="24" t="s">
        <v>1296</v>
      </c>
      <c r="H620" s="24" t="s">
        <v>1137</v>
      </c>
      <c r="I620" s="24" t="s">
        <v>1297</v>
      </c>
      <c r="K620" s="24" t="s">
        <v>1224</v>
      </c>
      <c r="L620" s="24" t="s">
        <v>1225</v>
      </c>
      <c r="M620" s="24" t="str">
        <f t="shared" si="9"/>
        <v>XWBRWB04</v>
      </c>
    </row>
    <row r="621" spans="1:13" ht="13.2">
      <c r="A621" s="24" t="s">
        <v>1821</v>
      </c>
      <c r="B621" s="24" t="s">
        <v>1771</v>
      </c>
      <c r="C621" s="24">
        <v>0.5</v>
      </c>
      <c r="D621" s="24">
        <v>1265</v>
      </c>
      <c r="E621" s="24">
        <v>2520</v>
      </c>
      <c r="F621" s="30" t="s">
        <v>1252</v>
      </c>
      <c r="G621" s="24" t="s">
        <v>1296</v>
      </c>
      <c r="H621" s="24" t="s">
        <v>1137</v>
      </c>
      <c r="I621" s="24" t="s">
        <v>1297</v>
      </c>
      <c r="K621" s="24" t="s">
        <v>1224</v>
      </c>
      <c r="L621" s="24" t="s">
        <v>1225</v>
      </c>
      <c r="M621" s="24" t="str">
        <f t="shared" si="9"/>
        <v>XWBRWB04</v>
      </c>
    </row>
    <row r="622" spans="1:13" ht="13.2">
      <c r="A622" s="24" t="s">
        <v>1822</v>
      </c>
      <c r="B622" s="24" t="s">
        <v>1771</v>
      </c>
      <c r="C622" s="24">
        <v>0.5</v>
      </c>
      <c r="D622" s="24">
        <v>1265</v>
      </c>
      <c r="E622" s="24">
        <v>2520</v>
      </c>
      <c r="F622" s="30" t="s">
        <v>1252</v>
      </c>
      <c r="G622" s="24" t="s">
        <v>1296</v>
      </c>
      <c r="H622" s="24" t="s">
        <v>1278</v>
      </c>
      <c r="I622" s="24" t="s">
        <v>1297</v>
      </c>
      <c r="K622" s="24" t="s">
        <v>1224</v>
      </c>
      <c r="L622" s="24" t="s">
        <v>1225</v>
      </c>
      <c r="M622" s="24" t="str">
        <f t="shared" si="9"/>
        <v>XWBRWC04</v>
      </c>
    </row>
    <row r="623" spans="1:13" ht="13.2">
      <c r="A623" s="24" t="s">
        <v>1823</v>
      </c>
      <c r="B623" s="24" t="s">
        <v>1771</v>
      </c>
      <c r="C623" s="24">
        <v>0.5</v>
      </c>
      <c r="D623" s="24">
        <v>1265</v>
      </c>
      <c r="E623" s="24">
        <v>2520</v>
      </c>
      <c r="F623" s="30" t="s">
        <v>1252</v>
      </c>
      <c r="G623" s="24" t="s">
        <v>1296</v>
      </c>
      <c r="H623" s="24" t="s">
        <v>1278</v>
      </c>
      <c r="I623" s="24" t="s">
        <v>1297</v>
      </c>
      <c r="K623" s="24" t="s">
        <v>1224</v>
      </c>
      <c r="L623" s="24" t="s">
        <v>1225</v>
      </c>
      <c r="M623" s="24" t="str">
        <f t="shared" si="9"/>
        <v>XWBRWC04</v>
      </c>
    </row>
    <row r="624" spans="1:13" ht="13.2">
      <c r="A624" s="24" t="s">
        <v>1824</v>
      </c>
      <c r="B624" s="24" t="s">
        <v>1771</v>
      </c>
      <c r="C624" s="24">
        <v>0.5</v>
      </c>
      <c r="D624" s="24">
        <v>1265</v>
      </c>
      <c r="E624" s="24">
        <v>2520</v>
      </c>
      <c r="F624" s="30" t="s">
        <v>1221</v>
      </c>
      <c r="G624" s="24" t="s">
        <v>1296</v>
      </c>
      <c r="H624" s="24" t="s">
        <v>1302</v>
      </c>
      <c r="I624" s="24" t="s">
        <v>1230</v>
      </c>
      <c r="K624" s="24" t="s">
        <v>1224</v>
      </c>
      <c r="L624" s="24" t="s">
        <v>1225</v>
      </c>
      <c r="M624" s="24" t="str">
        <f t="shared" si="9"/>
        <v>XWBRMD01</v>
      </c>
    </row>
    <row r="625" spans="1:13" ht="13.2">
      <c r="A625" s="24" t="s">
        <v>1825</v>
      </c>
      <c r="B625" s="24" t="s">
        <v>1771</v>
      </c>
      <c r="C625" s="24">
        <v>0.5</v>
      </c>
      <c r="D625" s="24">
        <v>1265</v>
      </c>
      <c r="E625" s="24">
        <v>2520</v>
      </c>
      <c r="F625" s="30" t="s">
        <v>1221</v>
      </c>
      <c r="G625" s="24" t="s">
        <v>1296</v>
      </c>
      <c r="H625" s="24" t="s">
        <v>1302</v>
      </c>
      <c r="I625" s="24" t="s">
        <v>1230</v>
      </c>
      <c r="K625" s="24" t="s">
        <v>1224</v>
      </c>
      <c r="L625" s="24" t="s">
        <v>1225</v>
      </c>
      <c r="M625" s="24" t="str">
        <f t="shared" si="9"/>
        <v>XWBRMD01</v>
      </c>
    </row>
    <row r="626" spans="1:13" ht="13.2">
      <c r="A626" s="24" t="s">
        <v>1826</v>
      </c>
      <c r="B626" s="24" t="s">
        <v>1771</v>
      </c>
      <c r="C626" s="24">
        <v>0.5</v>
      </c>
      <c r="D626" s="24">
        <v>1265</v>
      </c>
      <c r="E626" s="24">
        <v>2520</v>
      </c>
      <c r="F626" s="30" t="s">
        <v>1221</v>
      </c>
      <c r="G626" s="24" t="s">
        <v>1296</v>
      </c>
      <c r="H626" s="24" t="s">
        <v>1302</v>
      </c>
      <c r="I626" s="24" t="s">
        <v>1297</v>
      </c>
      <c r="K626" s="24" t="s">
        <v>1224</v>
      </c>
      <c r="L626" s="24" t="s">
        <v>1225</v>
      </c>
      <c r="M626" s="24" t="str">
        <f t="shared" si="9"/>
        <v>XWBRWD03</v>
      </c>
    </row>
    <row r="627" spans="1:13" ht="13.2">
      <c r="A627" s="24" t="s">
        <v>397</v>
      </c>
      <c r="B627" s="24" t="s">
        <v>1771</v>
      </c>
      <c r="C627" s="24">
        <v>0.5</v>
      </c>
      <c r="D627" s="24">
        <v>1265</v>
      </c>
      <c r="E627" s="24">
        <v>2520</v>
      </c>
      <c r="F627" s="30" t="s">
        <v>1221</v>
      </c>
      <c r="G627" s="24" t="s">
        <v>1296</v>
      </c>
      <c r="H627" s="24" t="s">
        <v>1302</v>
      </c>
      <c r="I627" s="24" t="s">
        <v>1297</v>
      </c>
      <c r="K627" s="24" t="s">
        <v>1224</v>
      </c>
      <c r="L627" s="24" t="s">
        <v>1225</v>
      </c>
      <c r="M627" s="24" t="str">
        <f t="shared" si="9"/>
        <v>XWBRWD03</v>
      </c>
    </row>
    <row r="628" spans="1:13" ht="13.2">
      <c r="A628" s="24" t="s">
        <v>1827</v>
      </c>
      <c r="B628" s="24" t="s">
        <v>1771</v>
      </c>
      <c r="C628" s="24">
        <v>0.5</v>
      </c>
      <c r="D628" s="24">
        <v>1265</v>
      </c>
      <c r="E628" s="24">
        <v>3100</v>
      </c>
      <c r="F628" s="30" t="s">
        <v>1221</v>
      </c>
      <c r="G628" s="24" t="s">
        <v>1296</v>
      </c>
      <c r="H628" s="24" t="s">
        <v>1302</v>
      </c>
      <c r="I628" s="24" t="s">
        <v>1297</v>
      </c>
      <c r="K628" s="24" t="s">
        <v>1224</v>
      </c>
      <c r="L628" s="24" t="s">
        <v>1225</v>
      </c>
      <c r="M628" s="24" t="str">
        <f t="shared" si="9"/>
        <v>XWBRWD07</v>
      </c>
    </row>
    <row r="629" spans="1:13" ht="13.2">
      <c r="A629" s="24" t="s">
        <v>1828</v>
      </c>
      <c r="B629" s="24" t="s">
        <v>1771</v>
      </c>
      <c r="C629" s="24">
        <v>0.5</v>
      </c>
      <c r="D629" s="24">
        <v>1265</v>
      </c>
      <c r="E629" s="24">
        <v>3100</v>
      </c>
      <c r="F629" s="30" t="s">
        <v>1221</v>
      </c>
      <c r="G629" s="24" t="s">
        <v>1296</v>
      </c>
      <c r="H629" s="24" t="s">
        <v>1302</v>
      </c>
      <c r="I629" s="24" t="s">
        <v>1297</v>
      </c>
      <c r="K629" s="24" t="s">
        <v>1224</v>
      </c>
      <c r="L629" s="24" t="s">
        <v>1225</v>
      </c>
      <c r="M629" s="24" t="str">
        <f t="shared" si="9"/>
        <v>XWBRWD07</v>
      </c>
    </row>
    <row r="630" spans="1:13" ht="13.2">
      <c r="A630" s="24" t="s">
        <v>1829</v>
      </c>
      <c r="B630" s="24" t="s">
        <v>1771</v>
      </c>
      <c r="C630" s="24">
        <v>0.5</v>
      </c>
      <c r="D630" s="24">
        <v>965</v>
      </c>
      <c r="E630" s="24">
        <v>2200</v>
      </c>
      <c r="F630" s="30" t="s">
        <v>1252</v>
      </c>
      <c r="G630" s="24" t="s">
        <v>1296</v>
      </c>
      <c r="H630" s="24" t="s">
        <v>1380</v>
      </c>
      <c r="I630" s="24" t="s">
        <v>1223</v>
      </c>
      <c r="K630" s="24" t="s">
        <v>1224</v>
      </c>
      <c r="L630" s="24" t="s">
        <v>1339</v>
      </c>
      <c r="M630" s="24" t="str">
        <f t="shared" si="9"/>
        <v>XWBRBA01</v>
      </c>
    </row>
    <row r="631" spans="1:13" ht="13.2">
      <c r="A631" s="24" t="s">
        <v>1000</v>
      </c>
      <c r="B631" s="24" t="s">
        <v>1771</v>
      </c>
      <c r="C631" s="24">
        <v>0.5</v>
      </c>
      <c r="D631" s="24">
        <v>965</v>
      </c>
      <c r="E631" s="24">
        <v>2200</v>
      </c>
      <c r="F631" s="30" t="s">
        <v>1252</v>
      </c>
      <c r="G631" s="24" t="s">
        <v>1296</v>
      </c>
      <c r="H631" s="24" t="s">
        <v>1380</v>
      </c>
      <c r="I631" s="24" t="s">
        <v>1223</v>
      </c>
      <c r="K631" s="24" t="s">
        <v>1224</v>
      </c>
      <c r="L631" s="24" t="s">
        <v>1339</v>
      </c>
      <c r="M631" s="24" t="str">
        <f t="shared" si="9"/>
        <v>XWBRBA01</v>
      </c>
    </row>
    <row r="632" spans="1:13" ht="13.2">
      <c r="A632" s="24" t="s">
        <v>1830</v>
      </c>
      <c r="B632" s="24" t="s">
        <v>1771</v>
      </c>
      <c r="C632" s="24">
        <v>0.5</v>
      </c>
      <c r="D632" s="24">
        <v>965</v>
      </c>
      <c r="E632" s="24">
        <v>2250</v>
      </c>
      <c r="F632" s="30" t="s">
        <v>1252</v>
      </c>
      <c r="G632" s="24" t="s">
        <v>1296</v>
      </c>
      <c r="H632" s="24" t="s">
        <v>1380</v>
      </c>
      <c r="I632" s="24" t="s">
        <v>1223</v>
      </c>
      <c r="K632" s="24" t="s">
        <v>1224</v>
      </c>
      <c r="L632" s="24" t="s">
        <v>1339</v>
      </c>
      <c r="M632" s="24" t="str">
        <f t="shared" si="9"/>
        <v>XWBRBA07</v>
      </c>
    </row>
    <row r="633" spans="1:13" ht="13.2">
      <c r="A633" s="24" t="s">
        <v>1831</v>
      </c>
      <c r="B633" s="24" t="s">
        <v>1771</v>
      </c>
      <c r="C633" s="24">
        <v>0.5</v>
      </c>
      <c r="D633" s="24">
        <v>1265</v>
      </c>
      <c r="E633" s="24">
        <v>2250</v>
      </c>
      <c r="F633" s="30" t="s">
        <v>1252</v>
      </c>
      <c r="G633" s="24" t="s">
        <v>1296</v>
      </c>
      <c r="H633" s="24" t="s">
        <v>1380</v>
      </c>
      <c r="I633" s="24" t="s">
        <v>1223</v>
      </c>
      <c r="K633" s="24" t="s">
        <v>1224</v>
      </c>
      <c r="L633" s="24" t="s">
        <v>1339</v>
      </c>
      <c r="M633" s="24" t="str">
        <f t="shared" si="9"/>
        <v>XWBRBA09</v>
      </c>
    </row>
    <row r="634" spans="1:13" ht="13.2">
      <c r="A634" s="24" t="s">
        <v>1003</v>
      </c>
      <c r="B634" s="24" t="s">
        <v>1771</v>
      </c>
      <c r="C634" s="24">
        <v>0.5</v>
      </c>
      <c r="D634" s="24">
        <v>965</v>
      </c>
      <c r="E634" s="24">
        <v>2250</v>
      </c>
      <c r="F634" s="30" t="s">
        <v>1252</v>
      </c>
      <c r="G634" s="24" t="s">
        <v>1296</v>
      </c>
      <c r="H634" s="24" t="s">
        <v>1380</v>
      </c>
      <c r="I634" s="24" t="s">
        <v>1223</v>
      </c>
      <c r="K634" s="24" t="s">
        <v>1224</v>
      </c>
      <c r="L634" s="24" t="s">
        <v>1339</v>
      </c>
      <c r="M634" s="24" t="str">
        <f t="shared" si="9"/>
        <v>XWBRBA07</v>
      </c>
    </row>
    <row r="635" spans="1:13" ht="13.2">
      <c r="A635" s="24" t="s">
        <v>1012</v>
      </c>
      <c r="B635" s="24" t="s">
        <v>1771</v>
      </c>
      <c r="C635" s="24">
        <v>0.5</v>
      </c>
      <c r="D635" s="24">
        <v>1265</v>
      </c>
      <c r="E635" s="24">
        <v>2250</v>
      </c>
      <c r="F635" s="30" t="s">
        <v>1252</v>
      </c>
      <c r="G635" s="24" t="s">
        <v>1296</v>
      </c>
      <c r="H635" s="24" t="s">
        <v>1380</v>
      </c>
      <c r="I635" s="24" t="s">
        <v>1223</v>
      </c>
      <c r="K635" s="24" t="s">
        <v>1224</v>
      </c>
      <c r="L635" s="24" t="s">
        <v>1339</v>
      </c>
      <c r="M635" s="24" t="str">
        <f t="shared" si="9"/>
        <v>XWBRBA09</v>
      </c>
    </row>
    <row r="636" spans="1:13" ht="13.2">
      <c r="A636" s="24" t="s">
        <v>1832</v>
      </c>
      <c r="B636" s="24" t="s">
        <v>1771</v>
      </c>
      <c r="C636" s="24">
        <v>0.5</v>
      </c>
      <c r="D636" s="24">
        <v>1265</v>
      </c>
      <c r="E636" s="24">
        <v>2520</v>
      </c>
      <c r="F636" s="30" t="s">
        <v>1252</v>
      </c>
      <c r="G636" s="24" t="s">
        <v>1296</v>
      </c>
      <c r="H636" s="24" t="s">
        <v>1380</v>
      </c>
      <c r="I636" s="24" t="s">
        <v>1223</v>
      </c>
      <c r="K636" s="24" t="s">
        <v>1224</v>
      </c>
      <c r="L636" s="24" t="s">
        <v>1339</v>
      </c>
      <c r="M636" s="24" t="str">
        <f t="shared" si="9"/>
        <v>XWBRBA03</v>
      </c>
    </row>
    <row r="637" spans="1:13" ht="13.2">
      <c r="A637" s="24" t="s">
        <v>1833</v>
      </c>
      <c r="B637" s="24" t="s">
        <v>1771</v>
      </c>
      <c r="C637" s="24">
        <v>0.5</v>
      </c>
      <c r="D637" s="24">
        <v>965</v>
      </c>
      <c r="E637" s="24">
        <v>2520</v>
      </c>
      <c r="F637" s="30" t="s">
        <v>1252</v>
      </c>
      <c r="G637" s="24" t="s">
        <v>1296</v>
      </c>
      <c r="H637" s="24" t="s">
        <v>1380</v>
      </c>
      <c r="I637" s="24" t="s">
        <v>1223</v>
      </c>
      <c r="K637" s="24" t="s">
        <v>1224</v>
      </c>
      <c r="L637" s="24" t="s">
        <v>1339</v>
      </c>
      <c r="M637" s="24" t="str">
        <f t="shared" si="9"/>
        <v>XWBRBA08</v>
      </c>
    </row>
    <row r="638" spans="1:13" ht="13.2">
      <c r="A638" s="24" t="s">
        <v>1015</v>
      </c>
      <c r="B638" s="24" t="s">
        <v>1771</v>
      </c>
      <c r="C638" s="24">
        <v>0.5</v>
      </c>
      <c r="D638" s="24">
        <v>1265</v>
      </c>
      <c r="E638" s="24">
        <v>2520</v>
      </c>
      <c r="F638" s="30" t="s">
        <v>1252</v>
      </c>
      <c r="G638" s="24" t="s">
        <v>1296</v>
      </c>
      <c r="H638" s="24" t="s">
        <v>1380</v>
      </c>
      <c r="I638" s="24" t="s">
        <v>1223</v>
      </c>
      <c r="K638" s="24" t="s">
        <v>1224</v>
      </c>
      <c r="L638" s="24" t="s">
        <v>1339</v>
      </c>
      <c r="M638" s="24" t="str">
        <f t="shared" si="9"/>
        <v>XWBRBA03</v>
      </c>
    </row>
    <row r="639" spans="1:13" ht="13.2">
      <c r="A639" s="24" t="s">
        <v>1006</v>
      </c>
      <c r="B639" s="24" t="s">
        <v>1771</v>
      </c>
      <c r="C639" s="24">
        <v>0.5</v>
      </c>
      <c r="D639" s="24">
        <v>965</v>
      </c>
      <c r="E639" s="24">
        <v>2520</v>
      </c>
      <c r="F639" s="30" t="s">
        <v>1252</v>
      </c>
      <c r="G639" s="24" t="s">
        <v>1296</v>
      </c>
      <c r="H639" s="24" t="s">
        <v>1380</v>
      </c>
      <c r="I639" s="24" t="s">
        <v>1223</v>
      </c>
      <c r="K639" s="24" t="s">
        <v>1224</v>
      </c>
      <c r="L639" s="24" t="s">
        <v>1339</v>
      </c>
      <c r="M639" s="24" t="str">
        <f t="shared" si="9"/>
        <v>XWBRBA08</v>
      </c>
    </row>
    <row r="640" spans="1:13" ht="13.2">
      <c r="A640" s="24" t="s">
        <v>1834</v>
      </c>
      <c r="B640" s="24" t="s">
        <v>1771</v>
      </c>
      <c r="C640" s="24">
        <v>0.5</v>
      </c>
      <c r="D640" s="24">
        <v>965</v>
      </c>
      <c r="E640" s="24">
        <v>2800</v>
      </c>
      <c r="F640" s="30" t="s">
        <v>1252</v>
      </c>
      <c r="G640" s="24" t="s">
        <v>1296</v>
      </c>
      <c r="H640" s="24" t="s">
        <v>1380</v>
      </c>
      <c r="I640" s="24" t="s">
        <v>1223</v>
      </c>
      <c r="K640" s="24" t="s">
        <v>1224</v>
      </c>
      <c r="L640" s="24" t="s">
        <v>1339</v>
      </c>
      <c r="M640" s="24" t="str">
        <f t="shared" si="9"/>
        <v>XWBRBA02</v>
      </c>
    </row>
    <row r="641" spans="1:13" ht="13.2">
      <c r="A641" s="24" t="s">
        <v>1835</v>
      </c>
      <c r="B641" s="24" t="s">
        <v>1771</v>
      </c>
      <c r="C641" s="24">
        <v>0.5</v>
      </c>
      <c r="D641" s="24">
        <v>1265</v>
      </c>
      <c r="E641" s="24">
        <v>2800</v>
      </c>
      <c r="F641" s="30" t="s">
        <v>1252</v>
      </c>
      <c r="G641" s="24" t="s">
        <v>1296</v>
      </c>
      <c r="H641" s="24" t="s">
        <v>1380</v>
      </c>
      <c r="I641" s="24" t="s">
        <v>1223</v>
      </c>
      <c r="K641" s="24" t="s">
        <v>1224</v>
      </c>
      <c r="L641" s="24" t="s">
        <v>1339</v>
      </c>
      <c r="M641" s="24" t="str">
        <f t="shared" si="9"/>
        <v>XWBRBA04</v>
      </c>
    </row>
    <row r="642" spans="1:13" ht="13.2">
      <c r="A642" s="24" t="s">
        <v>1836</v>
      </c>
      <c r="B642" s="24" t="s">
        <v>1771</v>
      </c>
      <c r="C642" s="24">
        <v>0.5</v>
      </c>
      <c r="D642" s="24">
        <v>930</v>
      </c>
      <c r="E642" s="24">
        <v>2800</v>
      </c>
      <c r="F642" s="30" t="s">
        <v>1252</v>
      </c>
      <c r="G642" s="24" t="s">
        <v>1296</v>
      </c>
      <c r="H642" s="24" t="s">
        <v>1385</v>
      </c>
      <c r="I642" s="24" t="s">
        <v>1223</v>
      </c>
      <c r="K642" s="24" t="s">
        <v>1224</v>
      </c>
      <c r="L642" s="24" t="s">
        <v>1339</v>
      </c>
      <c r="M642" s="24" t="str">
        <f t="shared" ref="M642:M705" si="10">RIGHT(A642,8)</f>
        <v>XWBRBA51</v>
      </c>
    </row>
    <row r="643" spans="1:13" ht="13.2">
      <c r="A643" s="24" t="s">
        <v>1009</v>
      </c>
      <c r="B643" s="24" t="s">
        <v>1771</v>
      </c>
      <c r="C643" s="24">
        <v>0.5</v>
      </c>
      <c r="D643" s="24">
        <v>965</v>
      </c>
      <c r="E643" s="24">
        <v>2800</v>
      </c>
      <c r="F643" s="30" t="s">
        <v>1252</v>
      </c>
      <c r="G643" s="24" t="s">
        <v>1296</v>
      </c>
      <c r="H643" s="24" t="s">
        <v>1380</v>
      </c>
      <c r="I643" s="24" t="s">
        <v>1223</v>
      </c>
      <c r="K643" s="24" t="s">
        <v>1224</v>
      </c>
      <c r="L643" s="24" t="s">
        <v>1339</v>
      </c>
      <c r="M643" s="24" t="str">
        <f t="shared" si="10"/>
        <v>XWBRBA02</v>
      </c>
    </row>
    <row r="644" spans="1:13" ht="13.2">
      <c r="A644" s="24" t="s">
        <v>1018</v>
      </c>
      <c r="B644" s="24" t="s">
        <v>1771</v>
      </c>
      <c r="C644" s="24">
        <v>0.5</v>
      </c>
      <c r="D644" s="24">
        <v>1265</v>
      </c>
      <c r="E644" s="24">
        <v>2800</v>
      </c>
      <c r="F644" s="30" t="s">
        <v>1252</v>
      </c>
      <c r="G644" s="24" t="s">
        <v>1296</v>
      </c>
      <c r="H644" s="24" t="s">
        <v>1380</v>
      </c>
      <c r="I644" s="24" t="s">
        <v>1223</v>
      </c>
      <c r="K644" s="24" t="s">
        <v>1224</v>
      </c>
      <c r="L644" s="24" t="s">
        <v>1339</v>
      </c>
      <c r="M644" s="24" t="str">
        <f t="shared" si="10"/>
        <v>XWBRBA04</v>
      </c>
    </row>
    <row r="645" spans="1:13" ht="13.2">
      <c r="A645" s="24" t="s">
        <v>1837</v>
      </c>
      <c r="B645" s="24" t="s">
        <v>1771</v>
      </c>
      <c r="C645" s="24">
        <v>0.5</v>
      </c>
      <c r="D645" s="24">
        <v>930</v>
      </c>
      <c r="E645" s="24">
        <v>2800</v>
      </c>
      <c r="F645" s="30" t="s">
        <v>1252</v>
      </c>
      <c r="G645" s="24" t="s">
        <v>1296</v>
      </c>
      <c r="H645" s="24" t="s">
        <v>1385</v>
      </c>
      <c r="I645" s="24" t="s">
        <v>1223</v>
      </c>
      <c r="K645" s="24" t="s">
        <v>1224</v>
      </c>
      <c r="L645" s="24" t="s">
        <v>1339</v>
      </c>
      <c r="M645" s="24" t="str">
        <f t="shared" si="10"/>
        <v>XWBRBA51</v>
      </c>
    </row>
    <row r="646" spans="1:13" ht="13.2">
      <c r="A646" s="24" t="s">
        <v>1838</v>
      </c>
      <c r="B646" s="24" t="s">
        <v>1771</v>
      </c>
      <c r="C646" s="24">
        <v>0.5</v>
      </c>
      <c r="D646" s="24">
        <v>965</v>
      </c>
      <c r="E646" s="24">
        <v>2250</v>
      </c>
      <c r="F646" s="30" t="s">
        <v>1252</v>
      </c>
      <c r="G646" s="24" t="s">
        <v>1296</v>
      </c>
      <c r="H646" s="24" t="s">
        <v>1523</v>
      </c>
      <c r="I646" s="24" t="s">
        <v>1223</v>
      </c>
      <c r="K646" s="24" t="s">
        <v>1224</v>
      </c>
      <c r="L646" s="24" t="s">
        <v>1339</v>
      </c>
      <c r="M646" s="24" t="str">
        <f t="shared" si="10"/>
        <v>XWBRBA10</v>
      </c>
    </row>
    <row r="647" spans="1:13" ht="14.25" customHeight="1">
      <c r="A647" s="24" t="s">
        <v>1839</v>
      </c>
      <c r="B647" s="24" t="s">
        <v>1771</v>
      </c>
      <c r="C647" s="24">
        <v>0.5</v>
      </c>
      <c r="D647" s="24">
        <v>965</v>
      </c>
      <c r="E647" s="24">
        <v>2250</v>
      </c>
      <c r="F647" s="30" t="s">
        <v>1252</v>
      </c>
      <c r="G647" s="24" t="s">
        <v>1296</v>
      </c>
      <c r="H647" s="24" t="s">
        <v>1523</v>
      </c>
      <c r="I647" s="24" t="s">
        <v>1223</v>
      </c>
      <c r="K647" s="24" t="s">
        <v>1224</v>
      </c>
      <c r="L647" s="24" t="s">
        <v>1339</v>
      </c>
      <c r="M647" s="24" t="str">
        <f t="shared" si="10"/>
        <v>XWBRBA10</v>
      </c>
    </row>
    <row r="648" spans="1:13" ht="13.2">
      <c r="A648" s="24" t="s">
        <v>1840</v>
      </c>
      <c r="B648" s="24" t="s">
        <v>1771</v>
      </c>
      <c r="C648" s="24">
        <v>0.5</v>
      </c>
      <c r="D648" s="24">
        <v>965</v>
      </c>
      <c r="E648" s="24">
        <v>2520</v>
      </c>
      <c r="F648" s="30" t="s">
        <v>1252</v>
      </c>
      <c r="G648" s="24" t="s">
        <v>1296</v>
      </c>
      <c r="H648" s="24" t="s">
        <v>1523</v>
      </c>
      <c r="I648" s="24" t="s">
        <v>1223</v>
      </c>
      <c r="K648" s="24" t="s">
        <v>1224</v>
      </c>
      <c r="L648" s="24" t="s">
        <v>1339</v>
      </c>
      <c r="M648" s="24" t="str">
        <f t="shared" si="10"/>
        <v>XWBRBA11</v>
      </c>
    </row>
    <row r="649" spans="1:13" ht="13.2">
      <c r="A649" s="24" t="s">
        <v>1841</v>
      </c>
      <c r="B649" s="24" t="s">
        <v>1771</v>
      </c>
      <c r="C649" s="24">
        <v>0.5</v>
      </c>
      <c r="D649" s="24">
        <v>965</v>
      </c>
      <c r="E649" s="24">
        <v>2520</v>
      </c>
      <c r="F649" s="30" t="s">
        <v>1252</v>
      </c>
      <c r="G649" s="24" t="s">
        <v>1296</v>
      </c>
      <c r="H649" s="24" t="s">
        <v>1523</v>
      </c>
      <c r="I649" s="24" t="s">
        <v>1223</v>
      </c>
      <c r="K649" s="24" t="s">
        <v>1224</v>
      </c>
      <c r="L649" s="24" t="s">
        <v>1339</v>
      </c>
      <c r="M649" s="24" t="str">
        <f t="shared" si="10"/>
        <v>XWBRBA11</v>
      </c>
    </row>
    <row r="650" spans="1:13" ht="13.2">
      <c r="A650" s="24" t="s">
        <v>1842</v>
      </c>
      <c r="B650" s="24" t="s">
        <v>1771</v>
      </c>
      <c r="C650" s="24">
        <v>0.5</v>
      </c>
      <c r="D650" s="24">
        <v>1265</v>
      </c>
      <c r="E650" s="24">
        <v>2520</v>
      </c>
      <c r="F650" s="30" t="s">
        <v>1221</v>
      </c>
      <c r="G650" s="24" t="s">
        <v>1296</v>
      </c>
      <c r="H650" s="24" t="s">
        <v>1305</v>
      </c>
      <c r="I650" s="24" t="s">
        <v>1297</v>
      </c>
      <c r="K650" s="24" t="s">
        <v>1224</v>
      </c>
      <c r="L650" s="24" t="s">
        <v>1225</v>
      </c>
      <c r="M650" s="24" t="str">
        <f t="shared" si="10"/>
        <v>XWBRWE02</v>
      </c>
    </row>
    <row r="651" spans="1:13" ht="13.2">
      <c r="A651" s="24" t="s">
        <v>1843</v>
      </c>
      <c r="B651" s="24" t="s">
        <v>1771</v>
      </c>
      <c r="C651" s="24">
        <v>0.5</v>
      </c>
      <c r="D651" s="24">
        <v>1265</v>
      </c>
      <c r="E651" s="24">
        <v>2520</v>
      </c>
      <c r="F651" s="30" t="s">
        <v>1221</v>
      </c>
      <c r="G651" s="24" t="s">
        <v>1296</v>
      </c>
      <c r="H651" s="24" t="s">
        <v>1305</v>
      </c>
      <c r="I651" s="24" t="s">
        <v>1297</v>
      </c>
      <c r="K651" s="24" t="s">
        <v>1224</v>
      </c>
      <c r="L651" s="24" t="s">
        <v>1225</v>
      </c>
      <c r="M651" s="24" t="str">
        <f t="shared" si="10"/>
        <v>XWBRWE02</v>
      </c>
    </row>
    <row r="652" spans="1:13" ht="13.2">
      <c r="A652" s="24" t="s">
        <v>1844</v>
      </c>
      <c r="B652" s="24" t="s">
        <v>1771</v>
      </c>
      <c r="C652" s="24">
        <v>0.5</v>
      </c>
      <c r="D652" s="24">
        <v>1265</v>
      </c>
      <c r="E652" s="24">
        <v>3100</v>
      </c>
      <c r="F652" s="30" t="s">
        <v>1221</v>
      </c>
      <c r="G652" s="24" t="s">
        <v>1296</v>
      </c>
      <c r="H652" s="24" t="s">
        <v>1305</v>
      </c>
      <c r="I652" s="24" t="s">
        <v>1297</v>
      </c>
      <c r="K652" s="24" t="s">
        <v>1224</v>
      </c>
      <c r="L652" s="24" t="s">
        <v>1225</v>
      </c>
      <c r="M652" s="24" t="str">
        <f t="shared" si="10"/>
        <v>XWBRWE03</v>
      </c>
    </row>
    <row r="653" spans="1:13" ht="13.2">
      <c r="A653" s="24" t="s">
        <v>1845</v>
      </c>
      <c r="B653" s="24" t="s">
        <v>1771</v>
      </c>
      <c r="C653" s="24">
        <v>0.5</v>
      </c>
      <c r="D653" s="24">
        <v>1265</v>
      </c>
      <c r="E653" s="24">
        <v>3100</v>
      </c>
      <c r="F653" s="30" t="s">
        <v>1221</v>
      </c>
      <c r="G653" s="24" t="s">
        <v>1296</v>
      </c>
      <c r="H653" s="24" t="s">
        <v>1305</v>
      </c>
      <c r="I653" s="24" t="s">
        <v>1297</v>
      </c>
      <c r="K653" s="24" t="s">
        <v>1224</v>
      </c>
      <c r="L653" s="24" t="s">
        <v>1225</v>
      </c>
      <c r="M653" s="24" t="str">
        <f t="shared" si="10"/>
        <v>XWBRWE03</v>
      </c>
    </row>
    <row r="654" spans="1:13" ht="11.4" customHeight="1">
      <c r="A654" s="24" t="s">
        <v>1846</v>
      </c>
      <c r="B654" s="24" t="s">
        <v>1771</v>
      </c>
      <c r="C654" s="24">
        <v>0.5</v>
      </c>
      <c r="D654" s="24">
        <v>1265</v>
      </c>
      <c r="E654" s="24">
        <v>2520</v>
      </c>
      <c r="F654" s="30" t="s">
        <v>1240</v>
      </c>
      <c r="G654" s="24" t="s">
        <v>1296</v>
      </c>
      <c r="H654" s="24" t="s">
        <v>1847</v>
      </c>
      <c r="I654" s="24" t="s">
        <v>1297</v>
      </c>
      <c r="J654" s="24" t="s">
        <v>1122</v>
      </c>
      <c r="K654" s="24" t="s">
        <v>1224</v>
      </c>
      <c r="L654" s="24" t="s">
        <v>1225</v>
      </c>
      <c r="M654" s="24" t="str">
        <f t="shared" si="10"/>
        <v>XWBRWT01</v>
      </c>
    </row>
    <row r="655" spans="1:13" ht="11.4" customHeight="1">
      <c r="A655" s="24" t="s">
        <v>1848</v>
      </c>
      <c r="B655" s="24" t="s">
        <v>1771</v>
      </c>
      <c r="C655" s="24">
        <v>0.5</v>
      </c>
      <c r="D655" s="24">
        <v>1265</v>
      </c>
      <c r="E655" s="24">
        <v>2520</v>
      </c>
      <c r="F655" s="30" t="s">
        <v>1240</v>
      </c>
      <c r="G655" s="24" t="s">
        <v>1296</v>
      </c>
      <c r="H655" s="24" t="s">
        <v>1847</v>
      </c>
      <c r="I655" s="24" t="s">
        <v>1297</v>
      </c>
      <c r="J655" s="24" t="s">
        <v>1122</v>
      </c>
      <c r="K655" s="24" t="s">
        <v>1224</v>
      </c>
      <c r="L655" s="24" t="s">
        <v>1225</v>
      </c>
      <c r="M655" s="24" t="str">
        <f t="shared" si="10"/>
        <v>XWBRWT01</v>
      </c>
    </row>
    <row r="656" spans="1:13" ht="11.4" customHeight="1">
      <c r="A656" s="24" t="s">
        <v>1849</v>
      </c>
      <c r="B656" s="24" t="s">
        <v>1771</v>
      </c>
      <c r="C656" s="24">
        <v>1</v>
      </c>
      <c r="D656" s="24">
        <v>144</v>
      </c>
      <c r="E656" s="24">
        <v>1250</v>
      </c>
      <c r="F656" s="24" t="s">
        <v>1252</v>
      </c>
      <c r="G656" s="24" t="s">
        <v>1296</v>
      </c>
      <c r="H656" s="24" t="s">
        <v>1150</v>
      </c>
      <c r="I656" s="24" t="s">
        <v>1240</v>
      </c>
      <c r="K656" s="24" t="s">
        <v>1224</v>
      </c>
      <c r="L656" s="24" t="s">
        <v>1225</v>
      </c>
      <c r="M656" s="24" t="str">
        <f t="shared" si="10"/>
        <v>XWBRZA10</v>
      </c>
    </row>
    <row r="657" spans="1:13" ht="11.4" customHeight="1">
      <c r="A657" s="24" t="s">
        <v>1850</v>
      </c>
      <c r="B657" s="24" t="s">
        <v>1771</v>
      </c>
      <c r="C657" s="24">
        <v>1</v>
      </c>
      <c r="D657" s="24">
        <v>144</v>
      </c>
      <c r="E657" s="24">
        <v>1250</v>
      </c>
      <c r="F657" s="30" t="s">
        <v>1252</v>
      </c>
      <c r="G657" s="24" t="s">
        <v>1296</v>
      </c>
      <c r="H657" s="24" t="s">
        <v>1150</v>
      </c>
      <c r="I657" s="24" t="s">
        <v>1240</v>
      </c>
      <c r="K657" s="24" t="s">
        <v>1224</v>
      </c>
      <c r="L657" s="24" t="s">
        <v>1225</v>
      </c>
      <c r="M657" s="24" t="str">
        <f t="shared" si="10"/>
        <v>XWBRZA10</v>
      </c>
    </row>
    <row r="658" spans="1:13" ht="11.4" customHeight="1">
      <c r="A658" s="24" t="s">
        <v>1851</v>
      </c>
      <c r="B658" s="24" t="s">
        <v>1852</v>
      </c>
      <c r="C658" s="24">
        <v>0.3</v>
      </c>
      <c r="D658" s="24">
        <v>1265</v>
      </c>
      <c r="E658" s="24">
        <v>1900</v>
      </c>
      <c r="F658" s="30" t="s">
        <v>1252</v>
      </c>
      <c r="G658" s="24" t="s">
        <v>1222</v>
      </c>
      <c r="H658" s="24" t="s">
        <v>1137</v>
      </c>
      <c r="I658" s="24" t="s">
        <v>1223</v>
      </c>
      <c r="K658" s="24" t="s">
        <v>1224</v>
      </c>
      <c r="L658" s="24" t="s">
        <v>1225</v>
      </c>
      <c r="M658" s="24" t="str">
        <f t="shared" si="10"/>
        <v>XWMPBB01</v>
      </c>
    </row>
    <row r="659" spans="1:13" ht="11.4" customHeight="1">
      <c r="A659" s="24" t="s">
        <v>1853</v>
      </c>
      <c r="B659" s="24" t="s">
        <v>1852</v>
      </c>
      <c r="C659" s="24">
        <v>0.3</v>
      </c>
      <c r="D659" s="24">
        <v>1265</v>
      </c>
      <c r="E659" s="24">
        <v>1900</v>
      </c>
      <c r="F659" s="30" t="s">
        <v>1252</v>
      </c>
      <c r="G659" s="24" t="s">
        <v>1222</v>
      </c>
      <c r="H659" s="24" t="s">
        <v>1137</v>
      </c>
      <c r="I659" s="24" t="s">
        <v>1223</v>
      </c>
      <c r="K659" s="24" t="s">
        <v>1224</v>
      </c>
      <c r="L659" s="24" t="s">
        <v>1225</v>
      </c>
      <c r="M659" s="24" t="str">
        <f t="shared" si="10"/>
        <v>XWMPBB01</v>
      </c>
    </row>
    <row r="660" spans="1:13" ht="11.4" customHeight="1">
      <c r="A660" s="24" t="s">
        <v>1854</v>
      </c>
      <c r="B660" s="24" t="s">
        <v>1852</v>
      </c>
      <c r="C660" s="24">
        <v>0.3</v>
      </c>
      <c r="D660" s="24">
        <v>1265</v>
      </c>
      <c r="E660" s="24">
        <v>2520</v>
      </c>
      <c r="F660" s="30" t="s">
        <v>1252</v>
      </c>
      <c r="G660" s="24" t="s">
        <v>1222</v>
      </c>
      <c r="H660" s="24" t="s">
        <v>1137</v>
      </c>
      <c r="I660" s="24" t="s">
        <v>1232</v>
      </c>
      <c r="K660" s="24" t="s">
        <v>1224</v>
      </c>
      <c r="L660" s="24" t="s">
        <v>1225</v>
      </c>
      <c r="M660" s="24" t="str">
        <f t="shared" si="10"/>
        <v>XWMPSB02</v>
      </c>
    </row>
    <row r="661" spans="1:13" ht="11.4" customHeight="1">
      <c r="A661" s="24" t="s">
        <v>1855</v>
      </c>
      <c r="B661" s="24" t="s">
        <v>1852</v>
      </c>
      <c r="C661" s="24">
        <v>0.3</v>
      </c>
      <c r="D661" s="24">
        <v>1265</v>
      </c>
      <c r="E661" s="24">
        <v>2520</v>
      </c>
      <c r="F661" s="30" t="s">
        <v>1252</v>
      </c>
      <c r="G661" s="24" t="s">
        <v>1222</v>
      </c>
      <c r="H661" s="24" t="s">
        <v>1137</v>
      </c>
      <c r="I661" s="24" t="s">
        <v>1232</v>
      </c>
      <c r="K661" s="24" t="s">
        <v>1224</v>
      </c>
      <c r="L661" s="24" t="s">
        <v>1225</v>
      </c>
      <c r="M661" s="24" t="str">
        <f t="shared" si="10"/>
        <v>XWMPSB02</v>
      </c>
    </row>
    <row r="662" spans="1:13" ht="11.4" customHeight="1">
      <c r="A662" s="24" t="s">
        <v>1856</v>
      </c>
      <c r="B662" s="24" t="s">
        <v>1852</v>
      </c>
      <c r="C662" s="24">
        <v>0.3</v>
      </c>
      <c r="D662" s="24">
        <v>1265</v>
      </c>
      <c r="E662" s="24">
        <v>2520</v>
      </c>
      <c r="F662" s="30" t="s">
        <v>1252</v>
      </c>
      <c r="G662" s="24" t="s">
        <v>1222</v>
      </c>
      <c r="H662" s="24" t="s">
        <v>1278</v>
      </c>
      <c r="I662" s="24" t="s">
        <v>1232</v>
      </c>
      <c r="K662" s="24" t="s">
        <v>1224</v>
      </c>
      <c r="L662" s="24" t="s">
        <v>1225</v>
      </c>
      <c r="M662" s="24" t="str">
        <f t="shared" si="10"/>
        <v>XWMPSC01</v>
      </c>
    </row>
    <row r="663" spans="1:13" ht="11.4" customHeight="1">
      <c r="A663" s="24" t="s">
        <v>1857</v>
      </c>
      <c r="B663" s="24" t="s">
        <v>1852</v>
      </c>
      <c r="C663" s="24">
        <v>0.3</v>
      </c>
      <c r="D663" s="24">
        <v>1265</v>
      </c>
      <c r="E663" s="24">
        <v>2520</v>
      </c>
      <c r="F663" s="30" t="s">
        <v>1252</v>
      </c>
      <c r="G663" s="24" t="s">
        <v>1222</v>
      </c>
      <c r="H663" s="24" t="s">
        <v>1278</v>
      </c>
      <c r="I663" s="24" t="s">
        <v>1232</v>
      </c>
      <c r="K663" s="24" t="s">
        <v>1224</v>
      </c>
      <c r="L663" s="24" t="s">
        <v>1225</v>
      </c>
      <c r="M663" s="24" t="str">
        <f t="shared" si="10"/>
        <v>XWMPSC01</v>
      </c>
    </row>
    <row r="664" spans="1:13" ht="11.4" customHeight="1">
      <c r="A664" s="24" t="s">
        <v>1858</v>
      </c>
      <c r="B664" s="24" t="s">
        <v>1852</v>
      </c>
      <c r="C664" s="24">
        <v>0.3</v>
      </c>
      <c r="D664" s="24">
        <v>1265</v>
      </c>
      <c r="E664" s="24">
        <v>1900</v>
      </c>
      <c r="F664" s="30" t="s">
        <v>1252</v>
      </c>
      <c r="G664" s="24" t="s">
        <v>1296</v>
      </c>
      <c r="H664" s="24" t="s">
        <v>1109</v>
      </c>
      <c r="I664" s="24" t="s">
        <v>1297</v>
      </c>
      <c r="K664" s="24" t="s">
        <v>1224</v>
      </c>
      <c r="L664" s="24" t="s">
        <v>1225</v>
      </c>
      <c r="M664" s="24" t="str">
        <f t="shared" si="10"/>
        <v>XWMRW111</v>
      </c>
    </row>
    <row r="665" spans="1:13" ht="11.4" customHeight="1">
      <c r="A665" s="24" t="s">
        <v>1859</v>
      </c>
      <c r="B665" s="24" t="s">
        <v>1852</v>
      </c>
      <c r="C665" s="24">
        <v>0.3</v>
      </c>
      <c r="D665" s="24">
        <v>1265</v>
      </c>
      <c r="E665" s="24">
        <v>1900</v>
      </c>
      <c r="F665" s="30" t="s">
        <v>1252</v>
      </c>
      <c r="G665" s="24" t="s">
        <v>1296</v>
      </c>
      <c r="H665" s="24" t="s">
        <v>1109</v>
      </c>
      <c r="I665" s="24" t="s">
        <v>1297</v>
      </c>
      <c r="K665" s="24" t="s">
        <v>1224</v>
      </c>
      <c r="L665" s="24" t="s">
        <v>1225</v>
      </c>
      <c r="M665" s="24" t="str">
        <f t="shared" si="10"/>
        <v>XWMRW111</v>
      </c>
    </row>
    <row r="666" spans="1:13" ht="11.4" customHeight="1">
      <c r="A666" s="24" t="s">
        <v>1860</v>
      </c>
      <c r="B666" s="24" t="s">
        <v>1852</v>
      </c>
      <c r="C666" s="24">
        <v>0.3</v>
      </c>
      <c r="D666" s="24">
        <v>1265</v>
      </c>
      <c r="E666" s="24">
        <v>2520</v>
      </c>
      <c r="F666" s="30" t="s">
        <v>1221</v>
      </c>
      <c r="G666" s="24" t="s">
        <v>1296</v>
      </c>
      <c r="H666" s="24" t="s">
        <v>1109</v>
      </c>
      <c r="I666" s="24" t="s">
        <v>1297</v>
      </c>
      <c r="K666" s="24" t="s">
        <v>1224</v>
      </c>
      <c r="L666" s="24" t="s">
        <v>1225</v>
      </c>
      <c r="M666" s="24" t="str">
        <f t="shared" si="10"/>
        <v>XWMRW101</v>
      </c>
    </row>
    <row r="667" spans="1:13" ht="11.4" customHeight="1">
      <c r="A667" s="24" t="s">
        <v>1861</v>
      </c>
      <c r="B667" s="24" t="s">
        <v>1852</v>
      </c>
      <c r="C667" s="24">
        <v>0.3</v>
      </c>
      <c r="D667" s="24">
        <v>1265</v>
      </c>
      <c r="E667" s="24">
        <v>2520</v>
      </c>
      <c r="F667" s="30" t="s">
        <v>1252</v>
      </c>
      <c r="G667" s="24" t="s">
        <v>1296</v>
      </c>
      <c r="H667" s="24" t="s">
        <v>1109</v>
      </c>
      <c r="I667" s="24" t="s">
        <v>1297</v>
      </c>
      <c r="K667" s="24" t="s">
        <v>1224</v>
      </c>
      <c r="L667" s="24" t="s">
        <v>1225</v>
      </c>
      <c r="M667" s="24" t="str">
        <f t="shared" si="10"/>
        <v>XWMRW102</v>
      </c>
    </row>
    <row r="668" spans="1:13" ht="11.4" customHeight="1">
      <c r="A668" s="24" t="s">
        <v>441</v>
      </c>
      <c r="B668" s="24" t="s">
        <v>1852</v>
      </c>
      <c r="C668" s="24">
        <v>0.3</v>
      </c>
      <c r="D668" s="24">
        <v>1265</v>
      </c>
      <c r="E668" s="24">
        <v>2520</v>
      </c>
      <c r="F668" s="30" t="s">
        <v>1221</v>
      </c>
      <c r="G668" s="24" t="s">
        <v>1296</v>
      </c>
      <c r="H668" s="24" t="s">
        <v>1109</v>
      </c>
      <c r="I668" s="24" t="s">
        <v>1297</v>
      </c>
      <c r="K668" s="24" t="s">
        <v>1224</v>
      </c>
      <c r="L668" s="24" t="s">
        <v>1225</v>
      </c>
      <c r="M668" s="24" t="str">
        <f t="shared" si="10"/>
        <v>XWMRW101</v>
      </c>
    </row>
    <row r="669" spans="1:13" ht="11.4" customHeight="1">
      <c r="A669" s="24" t="s">
        <v>439</v>
      </c>
      <c r="B669" s="24" t="s">
        <v>1852</v>
      </c>
      <c r="C669" s="24">
        <v>0.3</v>
      </c>
      <c r="D669" s="24">
        <v>1265</v>
      </c>
      <c r="E669" s="24">
        <v>2520</v>
      </c>
      <c r="F669" s="30" t="s">
        <v>1252</v>
      </c>
      <c r="G669" s="24" t="s">
        <v>1296</v>
      </c>
      <c r="H669" s="24" t="s">
        <v>1109</v>
      </c>
      <c r="I669" s="24" t="s">
        <v>1297</v>
      </c>
      <c r="K669" s="24" t="s">
        <v>1224</v>
      </c>
      <c r="L669" s="24" t="s">
        <v>1225</v>
      </c>
      <c r="M669" s="24" t="str">
        <f t="shared" si="10"/>
        <v>XWMRW102</v>
      </c>
    </row>
    <row r="670" spans="1:13" ht="11.4" customHeight="1">
      <c r="A670" s="24" t="s">
        <v>1862</v>
      </c>
      <c r="B670" s="24" t="s">
        <v>1852</v>
      </c>
      <c r="C670" s="24">
        <v>0.3</v>
      </c>
      <c r="D670" s="24">
        <v>1265</v>
      </c>
      <c r="E670" s="24">
        <v>3300</v>
      </c>
      <c r="F670" s="24" t="s">
        <v>1221</v>
      </c>
      <c r="G670" s="24" t="s">
        <v>1296</v>
      </c>
      <c r="H670" s="24" t="s">
        <v>1109</v>
      </c>
      <c r="I670" s="24" t="s">
        <v>1297</v>
      </c>
      <c r="K670" s="24" t="s">
        <v>1224</v>
      </c>
      <c r="L670" s="24" t="s">
        <v>1225</v>
      </c>
      <c r="M670" s="24" t="str">
        <f t="shared" si="10"/>
        <v>XWMRW129</v>
      </c>
    </row>
    <row r="671" spans="1:13" ht="11.4" customHeight="1">
      <c r="A671" s="24" t="s">
        <v>446</v>
      </c>
      <c r="B671" s="24" t="s">
        <v>1852</v>
      </c>
      <c r="C671" s="24">
        <v>0.3</v>
      </c>
      <c r="D671" s="24">
        <v>1265</v>
      </c>
      <c r="E671" s="24">
        <v>3300</v>
      </c>
      <c r="F671" s="30" t="s">
        <v>1221</v>
      </c>
      <c r="G671" s="24" t="s">
        <v>1296</v>
      </c>
      <c r="H671" s="24" t="s">
        <v>1109</v>
      </c>
      <c r="I671" s="24" t="s">
        <v>1297</v>
      </c>
      <c r="K671" s="24" t="s">
        <v>1224</v>
      </c>
      <c r="L671" s="24" t="s">
        <v>1225</v>
      </c>
      <c r="M671" s="24" t="str">
        <f t="shared" si="10"/>
        <v>XWMRW129</v>
      </c>
    </row>
    <row r="672" spans="1:13" ht="11.4" customHeight="1">
      <c r="A672" s="24" t="s">
        <v>1863</v>
      </c>
      <c r="B672" s="24" t="s">
        <v>1852</v>
      </c>
      <c r="C672" s="24">
        <v>0.3</v>
      </c>
      <c r="D672" s="24">
        <v>1265</v>
      </c>
      <c r="E672" s="24">
        <v>2520</v>
      </c>
      <c r="F672" s="30" t="s">
        <v>1221</v>
      </c>
      <c r="G672" s="24" t="s">
        <v>1296</v>
      </c>
      <c r="H672" s="24" t="s">
        <v>1109</v>
      </c>
      <c r="I672" s="24" t="s">
        <v>1240</v>
      </c>
      <c r="K672" s="24" t="s">
        <v>1224</v>
      </c>
      <c r="L672" s="24" t="s">
        <v>1225</v>
      </c>
      <c r="M672" s="24" t="str">
        <f t="shared" si="10"/>
        <v>XWMRZ109</v>
      </c>
    </row>
    <row r="673" spans="1:13" ht="11.4" customHeight="1">
      <c r="A673" s="24" t="s">
        <v>1864</v>
      </c>
      <c r="B673" s="24" t="s">
        <v>1852</v>
      </c>
      <c r="C673" s="24">
        <v>0.3</v>
      </c>
      <c r="D673" s="24">
        <v>1265</v>
      </c>
      <c r="E673" s="24">
        <v>2520</v>
      </c>
      <c r="F673" s="30" t="s">
        <v>1221</v>
      </c>
      <c r="G673" s="24" t="s">
        <v>1296</v>
      </c>
      <c r="H673" s="24" t="s">
        <v>1109</v>
      </c>
      <c r="I673" s="24" t="s">
        <v>1240</v>
      </c>
      <c r="K673" s="24" t="s">
        <v>1224</v>
      </c>
      <c r="L673" s="24" t="s">
        <v>1225</v>
      </c>
      <c r="M673" s="24" t="str">
        <f t="shared" si="10"/>
        <v>XWMRZ109</v>
      </c>
    </row>
    <row r="674" spans="1:13" ht="11.4" customHeight="1">
      <c r="A674" s="24" t="s">
        <v>1865</v>
      </c>
      <c r="B674" s="24" t="s">
        <v>1852</v>
      </c>
      <c r="C674" s="24">
        <v>0.3</v>
      </c>
      <c r="D674" s="24">
        <v>1265</v>
      </c>
      <c r="E674" s="24">
        <v>2520</v>
      </c>
      <c r="F674" s="30" t="s">
        <v>1221</v>
      </c>
      <c r="G674" s="24" t="s">
        <v>1296</v>
      </c>
      <c r="H674" s="24" t="s">
        <v>1866</v>
      </c>
      <c r="I674" s="24" t="s">
        <v>1297</v>
      </c>
      <c r="K674" s="24" t="s">
        <v>1224</v>
      </c>
      <c r="L674" s="24" t="s">
        <v>1225</v>
      </c>
      <c r="M674" s="24" t="str">
        <f t="shared" si="10"/>
        <v>XWMRW105</v>
      </c>
    </row>
    <row r="675" spans="1:13" ht="11.4" customHeight="1">
      <c r="A675" s="24" t="s">
        <v>1867</v>
      </c>
      <c r="B675" s="24" t="s">
        <v>1852</v>
      </c>
      <c r="C675" s="24">
        <v>0.3</v>
      </c>
      <c r="D675" s="24">
        <v>1265</v>
      </c>
      <c r="E675" s="24">
        <v>2520</v>
      </c>
      <c r="F675" s="30" t="s">
        <v>1221</v>
      </c>
      <c r="G675" s="24" t="s">
        <v>1296</v>
      </c>
      <c r="H675" s="24" t="s">
        <v>1866</v>
      </c>
      <c r="I675" s="24" t="s">
        <v>1297</v>
      </c>
      <c r="K675" s="24" t="s">
        <v>1224</v>
      </c>
      <c r="L675" s="24" t="s">
        <v>1225</v>
      </c>
      <c r="M675" s="24" t="str">
        <f t="shared" si="10"/>
        <v>XWMRW105</v>
      </c>
    </row>
    <row r="676" spans="1:13" ht="11.4" customHeight="1">
      <c r="A676" s="24" t="s">
        <v>1868</v>
      </c>
      <c r="B676" s="24" t="s">
        <v>1852</v>
      </c>
      <c r="C676" s="24">
        <v>0.3</v>
      </c>
      <c r="D676" s="24">
        <v>1265</v>
      </c>
      <c r="E676" s="24">
        <v>2520</v>
      </c>
      <c r="F676" s="30" t="s">
        <v>1221</v>
      </c>
      <c r="G676" s="24" t="s">
        <v>1296</v>
      </c>
      <c r="H676" s="24" t="s">
        <v>1869</v>
      </c>
      <c r="I676" s="24" t="s">
        <v>1297</v>
      </c>
      <c r="K676" s="24" t="s">
        <v>1224</v>
      </c>
      <c r="L676" s="24" t="s">
        <v>1225</v>
      </c>
      <c r="M676" s="24" t="str">
        <f t="shared" si="10"/>
        <v>XWMRW106</v>
      </c>
    </row>
    <row r="677" spans="1:13" ht="11.4" customHeight="1">
      <c r="A677" s="24" t="s">
        <v>1870</v>
      </c>
      <c r="B677" s="24" t="s">
        <v>1852</v>
      </c>
      <c r="C677" s="24">
        <v>0.3</v>
      </c>
      <c r="D677" s="24">
        <v>1265</v>
      </c>
      <c r="E677" s="24">
        <v>2520</v>
      </c>
      <c r="F677" s="30" t="s">
        <v>1221</v>
      </c>
      <c r="G677" s="24" t="s">
        <v>1296</v>
      </c>
      <c r="H677" s="24" t="s">
        <v>1869</v>
      </c>
      <c r="I677" s="24" t="s">
        <v>1297</v>
      </c>
      <c r="K677" s="24" t="s">
        <v>1224</v>
      </c>
      <c r="L677" s="24" t="s">
        <v>1225</v>
      </c>
      <c r="M677" s="24" t="str">
        <f t="shared" si="10"/>
        <v>XWMRW106</v>
      </c>
    </row>
    <row r="678" spans="1:13" ht="11.4" customHeight="1">
      <c r="A678" s="24" t="s">
        <v>1871</v>
      </c>
      <c r="B678" s="24" t="s">
        <v>1852</v>
      </c>
      <c r="C678" s="24">
        <v>0.3</v>
      </c>
      <c r="D678" s="24">
        <v>1265</v>
      </c>
      <c r="E678" s="24">
        <v>2520</v>
      </c>
      <c r="F678" s="30" t="s">
        <v>1221</v>
      </c>
      <c r="G678" s="24" t="s">
        <v>1296</v>
      </c>
      <c r="H678" s="24" t="s">
        <v>1244</v>
      </c>
      <c r="I678" s="24" t="s">
        <v>1232</v>
      </c>
      <c r="K678" s="24" t="s">
        <v>1224</v>
      </c>
      <c r="L678" s="24" t="s">
        <v>1225</v>
      </c>
      <c r="M678" s="24" t="str">
        <f t="shared" si="10"/>
        <v>XWMRS201</v>
      </c>
    </row>
    <row r="679" spans="1:13" ht="11.4" customHeight="1">
      <c r="A679" s="24" t="s">
        <v>1872</v>
      </c>
      <c r="B679" s="24" t="s">
        <v>1852</v>
      </c>
      <c r="C679" s="24">
        <v>0.3</v>
      </c>
      <c r="D679" s="24">
        <v>1265</v>
      </c>
      <c r="E679" s="24">
        <v>2520</v>
      </c>
      <c r="F679" s="30" t="s">
        <v>1221</v>
      </c>
      <c r="G679" s="24" t="s">
        <v>1296</v>
      </c>
      <c r="H679" s="24" t="s">
        <v>1244</v>
      </c>
      <c r="I679" s="24" t="s">
        <v>1232</v>
      </c>
      <c r="K679" s="24" t="s">
        <v>1224</v>
      </c>
      <c r="L679" s="24" t="s">
        <v>1225</v>
      </c>
      <c r="M679" s="24" t="str">
        <f t="shared" si="10"/>
        <v>XWMRS201</v>
      </c>
    </row>
    <row r="680" spans="1:13" ht="11.4" customHeight="1">
      <c r="A680" s="24" t="s">
        <v>1873</v>
      </c>
      <c r="B680" s="24" t="s">
        <v>1852</v>
      </c>
      <c r="C680" s="24">
        <v>0.3</v>
      </c>
      <c r="D680" s="24">
        <v>1265</v>
      </c>
      <c r="E680" s="24">
        <v>2520</v>
      </c>
      <c r="F680" s="30" t="s">
        <v>1221</v>
      </c>
      <c r="G680" s="24" t="s">
        <v>1296</v>
      </c>
      <c r="H680" s="24" t="s">
        <v>1244</v>
      </c>
      <c r="I680" s="24" t="s">
        <v>1297</v>
      </c>
      <c r="K680" s="24" t="s">
        <v>1224</v>
      </c>
      <c r="L680" s="24" t="s">
        <v>1225</v>
      </c>
      <c r="M680" s="24" t="str">
        <f t="shared" si="10"/>
        <v>XWMRW201</v>
      </c>
    </row>
    <row r="681" spans="1:13" ht="11.4" customHeight="1">
      <c r="A681" s="24" t="s">
        <v>452</v>
      </c>
      <c r="B681" s="24" t="s">
        <v>1852</v>
      </c>
      <c r="C681" s="24">
        <v>0.3</v>
      </c>
      <c r="D681" s="24">
        <v>1265</v>
      </c>
      <c r="E681" s="24">
        <v>2520</v>
      </c>
      <c r="F681" s="30" t="s">
        <v>1221</v>
      </c>
      <c r="G681" s="24" t="s">
        <v>1296</v>
      </c>
      <c r="H681" s="24" t="s">
        <v>1244</v>
      </c>
      <c r="I681" s="24" t="s">
        <v>1297</v>
      </c>
      <c r="K681" s="24" t="s">
        <v>1224</v>
      </c>
      <c r="L681" s="24" t="s">
        <v>1225</v>
      </c>
      <c r="M681" s="24" t="str">
        <f t="shared" si="10"/>
        <v>XWMRW201</v>
      </c>
    </row>
    <row r="682" spans="1:13" ht="11.4" customHeight="1">
      <c r="A682" s="24" t="s">
        <v>1874</v>
      </c>
      <c r="B682" s="24" t="s">
        <v>1852</v>
      </c>
      <c r="C682" s="24">
        <v>0.3</v>
      </c>
      <c r="D682" s="24">
        <v>1265</v>
      </c>
      <c r="E682" s="24">
        <v>3300</v>
      </c>
      <c r="F682" s="24" t="s">
        <v>1221</v>
      </c>
      <c r="G682" s="24" t="s">
        <v>1296</v>
      </c>
      <c r="H682" s="24" t="s">
        <v>1244</v>
      </c>
      <c r="I682" s="24" t="s">
        <v>1297</v>
      </c>
      <c r="K682" s="24" t="s">
        <v>1224</v>
      </c>
      <c r="L682" s="24" t="s">
        <v>1225</v>
      </c>
      <c r="M682" s="24" t="str">
        <f t="shared" si="10"/>
        <v>XWMRW202</v>
      </c>
    </row>
    <row r="683" spans="1:13" ht="11.4" customHeight="1">
      <c r="A683" s="24" t="s">
        <v>455</v>
      </c>
      <c r="B683" s="24" t="s">
        <v>1852</v>
      </c>
      <c r="C683" s="24">
        <v>0.3</v>
      </c>
      <c r="D683" s="24">
        <v>1265</v>
      </c>
      <c r="E683" s="24">
        <v>3300</v>
      </c>
      <c r="F683" s="30" t="s">
        <v>1221</v>
      </c>
      <c r="G683" s="24" t="s">
        <v>1296</v>
      </c>
      <c r="H683" s="24" t="s">
        <v>1244</v>
      </c>
      <c r="I683" s="24" t="s">
        <v>1297</v>
      </c>
      <c r="K683" s="24" t="s">
        <v>1224</v>
      </c>
      <c r="L683" s="24" t="s">
        <v>1225</v>
      </c>
      <c r="M683" s="24" t="str">
        <f t="shared" si="10"/>
        <v>XWMRW202</v>
      </c>
    </row>
    <row r="684" spans="1:13" ht="11.4" customHeight="1">
      <c r="A684" s="24" t="s">
        <v>1875</v>
      </c>
      <c r="B684" s="24" t="s">
        <v>1852</v>
      </c>
      <c r="C684" s="24">
        <v>0.3</v>
      </c>
      <c r="D684" s="24">
        <v>1265</v>
      </c>
      <c r="E684" s="24">
        <v>2520</v>
      </c>
      <c r="F684" s="30" t="s">
        <v>1221</v>
      </c>
      <c r="G684" s="24" t="s">
        <v>1296</v>
      </c>
      <c r="H684" s="24" t="s">
        <v>1876</v>
      </c>
      <c r="I684" s="24" t="s">
        <v>1297</v>
      </c>
      <c r="K684" s="24" t="s">
        <v>1224</v>
      </c>
      <c r="L684" s="24" t="s">
        <v>1225</v>
      </c>
      <c r="M684" s="24" t="str">
        <f t="shared" si="10"/>
        <v>XWMRW203</v>
      </c>
    </row>
    <row r="685" spans="1:13" ht="11.4" customHeight="1">
      <c r="A685" s="24" t="s">
        <v>1877</v>
      </c>
      <c r="B685" s="24" t="s">
        <v>1852</v>
      </c>
      <c r="C685" s="24">
        <v>0.3</v>
      </c>
      <c r="D685" s="24">
        <v>1265</v>
      </c>
      <c r="E685" s="24">
        <v>2520</v>
      </c>
      <c r="F685" s="30" t="s">
        <v>1221</v>
      </c>
      <c r="G685" s="24" t="s">
        <v>1296</v>
      </c>
      <c r="H685" s="24" t="s">
        <v>1876</v>
      </c>
      <c r="I685" s="24" t="s">
        <v>1297</v>
      </c>
      <c r="K685" s="24" t="s">
        <v>1224</v>
      </c>
      <c r="L685" s="24" t="s">
        <v>1225</v>
      </c>
      <c r="M685" s="24" t="str">
        <f t="shared" si="10"/>
        <v>XWMRW203</v>
      </c>
    </row>
    <row r="686" spans="1:13" ht="11.4" customHeight="1">
      <c r="A686" s="24" t="s">
        <v>1878</v>
      </c>
      <c r="B686" s="24" t="s">
        <v>1852</v>
      </c>
      <c r="C686" s="24">
        <v>0.3</v>
      </c>
      <c r="D686" s="24">
        <v>1265</v>
      </c>
      <c r="E686" s="24">
        <v>2520</v>
      </c>
      <c r="F686" s="30" t="s">
        <v>1221</v>
      </c>
      <c r="G686" s="24" t="s">
        <v>1296</v>
      </c>
      <c r="H686" s="24" t="s">
        <v>1879</v>
      </c>
      <c r="I686" s="24" t="s">
        <v>1297</v>
      </c>
      <c r="K686" s="24" t="s">
        <v>1224</v>
      </c>
      <c r="L686" s="24" t="s">
        <v>1225</v>
      </c>
      <c r="M686" s="24" t="str">
        <f t="shared" si="10"/>
        <v>XWMRW206</v>
      </c>
    </row>
    <row r="687" spans="1:13" ht="11.4" customHeight="1">
      <c r="A687" s="24" t="s">
        <v>1880</v>
      </c>
      <c r="B687" s="24" t="s">
        <v>1852</v>
      </c>
      <c r="C687" s="24">
        <v>0.3</v>
      </c>
      <c r="D687" s="24">
        <v>1265</v>
      </c>
      <c r="E687" s="24">
        <v>2520</v>
      </c>
      <c r="F687" s="30" t="s">
        <v>1221</v>
      </c>
      <c r="G687" s="24" t="s">
        <v>1296</v>
      </c>
      <c r="H687" s="24" t="s">
        <v>1879</v>
      </c>
      <c r="I687" s="24" t="s">
        <v>1297</v>
      </c>
      <c r="K687" s="24" t="s">
        <v>1224</v>
      </c>
      <c r="L687" s="24" t="s">
        <v>1225</v>
      </c>
      <c r="M687" s="24" t="str">
        <f t="shared" si="10"/>
        <v>XWMRW206</v>
      </c>
    </row>
    <row r="688" spans="1:13" ht="11.4" customHeight="1">
      <c r="A688" s="24" t="s">
        <v>1881</v>
      </c>
      <c r="B688" s="24" t="s">
        <v>1852</v>
      </c>
      <c r="C688" s="24">
        <v>0.3</v>
      </c>
      <c r="D688" s="24">
        <v>1265</v>
      </c>
      <c r="E688" s="24">
        <v>2520</v>
      </c>
      <c r="F688" s="24" t="s">
        <v>1221</v>
      </c>
      <c r="G688" s="24" t="s">
        <v>1296</v>
      </c>
      <c r="H688" s="24" t="s">
        <v>1247</v>
      </c>
      <c r="I688" s="24" t="s">
        <v>1297</v>
      </c>
      <c r="K688" s="24" t="s">
        <v>1224</v>
      </c>
      <c r="L688" s="24" t="s">
        <v>1225</v>
      </c>
      <c r="M688" s="24" t="str">
        <f t="shared" si="10"/>
        <v>XWMRW207</v>
      </c>
    </row>
    <row r="689" spans="1:13" ht="11.4" customHeight="1">
      <c r="A689" s="24" t="s">
        <v>1882</v>
      </c>
      <c r="B689" s="24" t="s">
        <v>1852</v>
      </c>
      <c r="C689" s="24">
        <v>0.3</v>
      </c>
      <c r="D689" s="24">
        <v>1265</v>
      </c>
      <c r="E689" s="24">
        <v>2520</v>
      </c>
      <c r="F689" s="30" t="s">
        <v>1221</v>
      </c>
      <c r="G689" s="24" t="s">
        <v>1296</v>
      </c>
      <c r="H689" s="24" t="s">
        <v>1247</v>
      </c>
      <c r="I689" s="24" t="s">
        <v>1297</v>
      </c>
      <c r="K689" s="24" t="s">
        <v>1224</v>
      </c>
      <c r="L689" s="24" t="s">
        <v>1225</v>
      </c>
      <c r="M689" s="24" t="str">
        <f t="shared" si="10"/>
        <v>XWMRW207</v>
      </c>
    </row>
    <row r="690" spans="1:13" ht="11.4" customHeight="1">
      <c r="A690" s="24" t="s">
        <v>1883</v>
      </c>
      <c r="B690" s="24" t="s">
        <v>1852</v>
      </c>
      <c r="C690" s="24">
        <v>0.3</v>
      </c>
      <c r="D690" s="24">
        <v>1265</v>
      </c>
      <c r="E690" s="24">
        <v>2520</v>
      </c>
      <c r="F690" s="30" t="s">
        <v>1252</v>
      </c>
      <c r="G690" s="24" t="s">
        <v>1296</v>
      </c>
      <c r="H690" s="24" t="s">
        <v>49</v>
      </c>
      <c r="I690" s="24" t="s">
        <v>1297</v>
      </c>
      <c r="K690" s="24" t="s">
        <v>1224</v>
      </c>
      <c r="L690" s="24" t="s">
        <v>1225</v>
      </c>
      <c r="M690" s="24" t="str">
        <f t="shared" si="10"/>
        <v>XWMRWA01</v>
      </c>
    </row>
    <row r="691" spans="1:13" ht="11.4" customHeight="1">
      <c r="A691" s="24" t="s">
        <v>461</v>
      </c>
      <c r="B691" s="24" t="s">
        <v>1852</v>
      </c>
      <c r="C691" s="24">
        <v>0.3</v>
      </c>
      <c r="D691" s="24">
        <v>1265</v>
      </c>
      <c r="E691" s="24">
        <v>2520</v>
      </c>
      <c r="F691" s="30" t="s">
        <v>1252</v>
      </c>
      <c r="G691" s="24" t="s">
        <v>1296</v>
      </c>
      <c r="H691" s="24" t="s">
        <v>49</v>
      </c>
      <c r="I691" s="24" t="s">
        <v>1297</v>
      </c>
      <c r="K691" s="24" t="s">
        <v>1224</v>
      </c>
      <c r="L691" s="24" t="s">
        <v>1225</v>
      </c>
      <c r="M691" s="24" t="str">
        <f t="shared" si="10"/>
        <v>XWMRWA01</v>
      </c>
    </row>
    <row r="692" spans="1:13" ht="11.4" customHeight="1">
      <c r="A692" s="24" t="s">
        <v>1884</v>
      </c>
      <c r="B692" s="24" t="s">
        <v>1852</v>
      </c>
      <c r="C692" s="24">
        <v>0.3</v>
      </c>
      <c r="D692" s="24">
        <v>1265</v>
      </c>
      <c r="E692" s="24">
        <v>1900</v>
      </c>
      <c r="F692" s="30" t="s">
        <v>1252</v>
      </c>
      <c r="G692" s="24" t="s">
        <v>1296</v>
      </c>
      <c r="H692" s="24" t="s">
        <v>1137</v>
      </c>
      <c r="I692" s="24" t="s">
        <v>1297</v>
      </c>
      <c r="K692" s="24" t="s">
        <v>1224</v>
      </c>
      <c r="L692" s="24" t="s">
        <v>1225</v>
      </c>
      <c r="M692" s="24" t="str">
        <f t="shared" si="10"/>
        <v>XWMRWB15</v>
      </c>
    </row>
    <row r="693" spans="1:13" ht="11.4" customHeight="1">
      <c r="A693" s="24" t="s">
        <v>1885</v>
      </c>
      <c r="B693" s="24" t="s">
        <v>1852</v>
      </c>
      <c r="C693" s="24">
        <v>0.3</v>
      </c>
      <c r="D693" s="24">
        <v>1265</v>
      </c>
      <c r="E693" s="24">
        <v>1900</v>
      </c>
      <c r="F693" s="30" t="s">
        <v>1252</v>
      </c>
      <c r="G693" s="24" t="s">
        <v>1296</v>
      </c>
      <c r="H693" s="24" t="s">
        <v>1137</v>
      </c>
      <c r="I693" s="24" t="s">
        <v>1297</v>
      </c>
      <c r="K693" s="24" t="s">
        <v>1224</v>
      </c>
      <c r="L693" s="24" t="s">
        <v>1225</v>
      </c>
      <c r="M693" s="24" t="str">
        <f t="shared" si="10"/>
        <v>XWMRWB15</v>
      </c>
    </row>
    <row r="694" spans="1:13" ht="11.4" customHeight="1">
      <c r="A694" s="24" t="s">
        <v>1886</v>
      </c>
      <c r="B694" s="24" t="s">
        <v>1852</v>
      </c>
      <c r="C694" s="24">
        <v>0.3</v>
      </c>
      <c r="D694" s="24">
        <v>1265</v>
      </c>
      <c r="E694" s="24">
        <v>2520</v>
      </c>
      <c r="F694" s="30" t="s">
        <v>1252</v>
      </c>
      <c r="G694" s="24" t="s">
        <v>1296</v>
      </c>
      <c r="H694" s="24" t="s">
        <v>1137</v>
      </c>
      <c r="I694" s="24" t="s">
        <v>1297</v>
      </c>
      <c r="K694" s="24" t="s">
        <v>1224</v>
      </c>
      <c r="L694" s="24" t="s">
        <v>1225</v>
      </c>
      <c r="M694" s="24" t="str">
        <f t="shared" si="10"/>
        <v>XWMRWB01</v>
      </c>
    </row>
    <row r="695" spans="1:13" ht="11.4" customHeight="1">
      <c r="A695" s="24" t="s">
        <v>1887</v>
      </c>
      <c r="B695" s="24" t="s">
        <v>1852</v>
      </c>
      <c r="C695" s="24">
        <v>0.3</v>
      </c>
      <c r="D695" s="24">
        <v>1265</v>
      </c>
      <c r="E695" s="24">
        <v>2520</v>
      </c>
      <c r="F695" s="24" t="s">
        <v>1221</v>
      </c>
      <c r="G695" s="24" t="s">
        <v>1296</v>
      </c>
      <c r="H695" s="24" t="s">
        <v>1137</v>
      </c>
      <c r="I695" s="24" t="s">
        <v>1297</v>
      </c>
      <c r="K695" s="24" t="s">
        <v>1224</v>
      </c>
      <c r="L695" s="24" t="s">
        <v>1225</v>
      </c>
      <c r="M695" s="24" t="str">
        <f t="shared" si="10"/>
        <v>XWMRWB04</v>
      </c>
    </row>
    <row r="696" spans="1:13" ht="11.4" customHeight="1">
      <c r="A696" s="24" t="s">
        <v>449</v>
      </c>
      <c r="B696" s="24" t="s">
        <v>1852</v>
      </c>
      <c r="C696" s="24">
        <v>0.3</v>
      </c>
      <c r="D696" s="24">
        <v>1265</v>
      </c>
      <c r="E696" s="24">
        <v>2520</v>
      </c>
      <c r="F696" s="24" t="s">
        <v>1252</v>
      </c>
      <c r="G696" s="24" t="s">
        <v>1296</v>
      </c>
      <c r="H696" s="24" t="s">
        <v>1137</v>
      </c>
      <c r="I696" s="24" t="s">
        <v>1297</v>
      </c>
      <c r="K696" s="24" t="s">
        <v>1224</v>
      </c>
      <c r="L696" s="24" t="s">
        <v>1225</v>
      </c>
      <c r="M696" s="24" t="str">
        <f t="shared" si="10"/>
        <v>XWMRWB01</v>
      </c>
    </row>
    <row r="697" spans="1:13" ht="11.4" customHeight="1">
      <c r="A697" s="24" t="s">
        <v>1888</v>
      </c>
      <c r="B697" s="24" t="s">
        <v>1852</v>
      </c>
      <c r="C697" s="24">
        <v>0.3</v>
      </c>
      <c r="D697" s="24">
        <v>1265</v>
      </c>
      <c r="E697" s="24">
        <v>2520</v>
      </c>
      <c r="F697" s="30" t="s">
        <v>1221</v>
      </c>
      <c r="G697" s="24" t="s">
        <v>1296</v>
      </c>
      <c r="H697" s="24" t="s">
        <v>1137</v>
      </c>
      <c r="I697" s="24" t="s">
        <v>1297</v>
      </c>
      <c r="K697" s="24" t="s">
        <v>1224</v>
      </c>
      <c r="L697" s="24" t="s">
        <v>1225</v>
      </c>
      <c r="M697" s="24" t="str">
        <f t="shared" si="10"/>
        <v>XWMRWB04</v>
      </c>
    </row>
    <row r="698" spans="1:13" ht="11.4" customHeight="1">
      <c r="A698" s="24" t="s">
        <v>1889</v>
      </c>
      <c r="B698" s="24" t="s">
        <v>1852</v>
      </c>
      <c r="C698" s="24">
        <v>0.3</v>
      </c>
      <c r="D698" s="24">
        <v>1265</v>
      </c>
      <c r="E698" s="24">
        <v>3300</v>
      </c>
      <c r="F698" s="30" t="s">
        <v>1252</v>
      </c>
      <c r="G698" s="24" t="s">
        <v>1296</v>
      </c>
      <c r="H698" s="24" t="s">
        <v>1137</v>
      </c>
      <c r="I698" s="24" t="s">
        <v>1297</v>
      </c>
      <c r="K698" s="24" t="s">
        <v>1224</v>
      </c>
      <c r="L698" s="24" t="s">
        <v>1225</v>
      </c>
      <c r="M698" s="24" t="str">
        <f t="shared" si="10"/>
        <v>XWMRWB08</v>
      </c>
    </row>
    <row r="699" spans="1:13" ht="11.4" customHeight="1">
      <c r="A699" s="24" t="s">
        <v>445</v>
      </c>
      <c r="B699" s="24" t="s">
        <v>1852</v>
      </c>
      <c r="C699" s="24">
        <v>0.3</v>
      </c>
      <c r="D699" s="24">
        <v>1265</v>
      </c>
      <c r="E699" s="24">
        <v>3300</v>
      </c>
      <c r="F699" s="30" t="s">
        <v>1252</v>
      </c>
      <c r="G699" s="24" t="s">
        <v>1296</v>
      </c>
      <c r="H699" s="24" t="s">
        <v>1137</v>
      </c>
      <c r="I699" s="24" t="s">
        <v>1297</v>
      </c>
      <c r="K699" s="24" t="s">
        <v>1224</v>
      </c>
      <c r="L699" s="24" t="s">
        <v>1225</v>
      </c>
      <c r="M699" s="24" t="str">
        <f t="shared" si="10"/>
        <v>XWMRWB08</v>
      </c>
    </row>
    <row r="700" spans="1:13" ht="11.4" customHeight="1">
      <c r="A700" s="24" t="s">
        <v>1890</v>
      </c>
      <c r="B700" s="24" t="s">
        <v>1852</v>
      </c>
      <c r="C700" s="24">
        <v>0.3</v>
      </c>
      <c r="D700" s="24">
        <v>1265</v>
      </c>
      <c r="E700" s="24">
        <v>2520</v>
      </c>
      <c r="F700" s="24" t="s">
        <v>1252</v>
      </c>
      <c r="G700" s="24" t="s">
        <v>1296</v>
      </c>
      <c r="H700" s="24" t="s">
        <v>1334</v>
      </c>
      <c r="I700" s="24" t="s">
        <v>1297</v>
      </c>
      <c r="K700" s="24" t="s">
        <v>1224</v>
      </c>
      <c r="L700" s="24" t="s">
        <v>1225</v>
      </c>
      <c r="M700" s="24" t="str">
        <f t="shared" si="10"/>
        <v>XWMRWB02</v>
      </c>
    </row>
    <row r="701" spans="1:13" ht="11.4" customHeight="1">
      <c r="A701" s="24" t="s">
        <v>1891</v>
      </c>
      <c r="B701" s="24" t="s">
        <v>1852</v>
      </c>
      <c r="C701" s="24">
        <v>0.3</v>
      </c>
      <c r="D701" s="24">
        <v>1265</v>
      </c>
      <c r="E701" s="24">
        <v>2520</v>
      </c>
      <c r="F701" s="24" t="s">
        <v>1221</v>
      </c>
      <c r="G701" s="24" t="s">
        <v>1296</v>
      </c>
      <c r="H701" s="24" t="s">
        <v>1334</v>
      </c>
      <c r="I701" s="24" t="s">
        <v>1297</v>
      </c>
      <c r="K701" s="24" t="s">
        <v>1224</v>
      </c>
      <c r="L701" s="24" t="s">
        <v>1225</v>
      </c>
      <c r="M701" s="24" t="str">
        <f t="shared" si="10"/>
        <v>XWMRWB09</v>
      </c>
    </row>
    <row r="702" spans="1:13" ht="11.4" customHeight="1">
      <c r="A702" s="24" t="s">
        <v>1892</v>
      </c>
      <c r="B702" s="24" t="s">
        <v>1852</v>
      </c>
      <c r="C702" s="24">
        <v>0.3</v>
      </c>
      <c r="D702" s="24">
        <v>1265</v>
      </c>
      <c r="E702" s="24">
        <v>2520</v>
      </c>
      <c r="F702" s="30" t="s">
        <v>1252</v>
      </c>
      <c r="G702" s="24" t="s">
        <v>1296</v>
      </c>
      <c r="H702" s="24" t="s">
        <v>1334</v>
      </c>
      <c r="I702" s="24" t="s">
        <v>1297</v>
      </c>
      <c r="K702" s="24" t="s">
        <v>1224</v>
      </c>
      <c r="L702" s="24" t="s">
        <v>1225</v>
      </c>
      <c r="M702" s="24" t="str">
        <f t="shared" si="10"/>
        <v>XWMRWB02</v>
      </c>
    </row>
    <row r="703" spans="1:13" ht="11.4" customHeight="1">
      <c r="A703" s="24" t="s">
        <v>1893</v>
      </c>
      <c r="B703" s="24" t="s">
        <v>1852</v>
      </c>
      <c r="C703" s="24">
        <v>0.3</v>
      </c>
      <c r="D703" s="24">
        <v>1265</v>
      </c>
      <c r="E703" s="24">
        <v>2520</v>
      </c>
      <c r="F703" s="30" t="s">
        <v>1221</v>
      </c>
      <c r="G703" s="24" t="s">
        <v>1296</v>
      </c>
      <c r="H703" s="24" t="s">
        <v>1334</v>
      </c>
      <c r="I703" s="24" t="s">
        <v>1297</v>
      </c>
      <c r="K703" s="24" t="s">
        <v>1224</v>
      </c>
      <c r="L703" s="24" t="s">
        <v>1225</v>
      </c>
      <c r="M703" s="24" t="str">
        <f t="shared" si="10"/>
        <v>XWMRWB09</v>
      </c>
    </row>
    <row r="704" spans="1:13" ht="11.4" customHeight="1">
      <c r="A704" s="24" t="s">
        <v>1894</v>
      </c>
      <c r="B704" s="24" t="s">
        <v>1852</v>
      </c>
      <c r="C704" s="24">
        <v>0.3</v>
      </c>
      <c r="D704" s="24">
        <v>1265</v>
      </c>
      <c r="E704" s="24">
        <v>2520</v>
      </c>
      <c r="F704" s="30" t="s">
        <v>1252</v>
      </c>
      <c r="G704" s="24" t="s">
        <v>1296</v>
      </c>
      <c r="H704" s="24" t="s">
        <v>1895</v>
      </c>
      <c r="I704" s="24" t="s">
        <v>1297</v>
      </c>
      <c r="K704" s="24" t="s">
        <v>1224</v>
      </c>
      <c r="L704" s="24" t="s">
        <v>1225</v>
      </c>
      <c r="M704" s="24" t="str">
        <f t="shared" si="10"/>
        <v>XWMRWB11</v>
      </c>
    </row>
    <row r="705" spans="1:13" ht="11.4" customHeight="1">
      <c r="A705" s="24" t="s">
        <v>468</v>
      </c>
      <c r="B705" s="24" t="s">
        <v>1852</v>
      </c>
      <c r="C705" s="24">
        <v>0.3</v>
      </c>
      <c r="D705" s="24">
        <v>1265</v>
      </c>
      <c r="E705" s="24">
        <v>2520</v>
      </c>
      <c r="F705" s="30" t="s">
        <v>1252</v>
      </c>
      <c r="G705" s="24" t="s">
        <v>1296</v>
      </c>
      <c r="H705" s="24" t="s">
        <v>1895</v>
      </c>
      <c r="I705" s="24" t="s">
        <v>1297</v>
      </c>
      <c r="K705" s="24" t="s">
        <v>1224</v>
      </c>
      <c r="L705" s="24" t="s">
        <v>1225</v>
      </c>
      <c r="M705" s="24" t="str">
        <f t="shared" si="10"/>
        <v>XWMRWB11</v>
      </c>
    </row>
    <row r="706" spans="1:13" ht="11.4" customHeight="1">
      <c r="A706" s="24" t="s">
        <v>1896</v>
      </c>
      <c r="B706" s="24" t="s">
        <v>1852</v>
      </c>
      <c r="C706" s="24">
        <v>0.3</v>
      </c>
      <c r="D706" s="24">
        <v>1265</v>
      </c>
      <c r="E706" s="24">
        <v>2520</v>
      </c>
      <c r="F706" s="30" t="s">
        <v>1252</v>
      </c>
      <c r="G706" s="24" t="s">
        <v>1296</v>
      </c>
      <c r="H706" s="24" t="s">
        <v>1897</v>
      </c>
      <c r="I706" s="24" t="s">
        <v>1297</v>
      </c>
      <c r="K706" s="24" t="s">
        <v>1224</v>
      </c>
      <c r="L706" s="24" t="s">
        <v>1225</v>
      </c>
      <c r="M706" s="24" t="str">
        <f t="shared" ref="M706:M769" si="11">RIGHT(A706,8)</f>
        <v>XWMRWB12</v>
      </c>
    </row>
    <row r="707" spans="1:13" ht="11.4" customHeight="1">
      <c r="A707" s="24" t="s">
        <v>1898</v>
      </c>
      <c r="B707" s="24" t="s">
        <v>1852</v>
      </c>
      <c r="C707" s="24">
        <v>0.3</v>
      </c>
      <c r="D707" s="24">
        <v>1265</v>
      </c>
      <c r="E707" s="24">
        <v>2520</v>
      </c>
      <c r="F707" s="30" t="s">
        <v>1252</v>
      </c>
      <c r="G707" s="24" t="s">
        <v>1296</v>
      </c>
      <c r="H707" s="24" t="s">
        <v>1897</v>
      </c>
      <c r="I707" s="24" t="s">
        <v>1297</v>
      </c>
      <c r="K707" s="24" t="s">
        <v>1224</v>
      </c>
      <c r="L707" s="24" t="s">
        <v>1225</v>
      </c>
      <c r="M707" s="24" t="str">
        <f t="shared" si="11"/>
        <v>XWMRWB12</v>
      </c>
    </row>
    <row r="708" spans="1:13" ht="11.4" customHeight="1">
      <c r="A708" s="24" t="s">
        <v>1899</v>
      </c>
      <c r="B708" s="24" t="s">
        <v>1852</v>
      </c>
      <c r="C708" s="24">
        <v>0.3</v>
      </c>
      <c r="D708" s="24">
        <v>1265</v>
      </c>
      <c r="E708" s="24">
        <v>2520</v>
      </c>
      <c r="F708" s="30" t="s">
        <v>1252</v>
      </c>
      <c r="G708" s="24" t="s">
        <v>1296</v>
      </c>
      <c r="H708" s="24" t="s">
        <v>1768</v>
      </c>
      <c r="I708" s="24" t="s">
        <v>1297</v>
      </c>
      <c r="K708" s="24" t="s">
        <v>1224</v>
      </c>
      <c r="L708" s="24" t="s">
        <v>1225</v>
      </c>
      <c r="M708" s="24" t="str">
        <f t="shared" si="11"/>
        <v>XWMRWB06</v>
      </c>
    </row>
    <row r="709" spans="1:13" ht="11.4" customHeight="1">
      <c r="A709" s="24" t="s">
        <v>1900</v>
      </c>
      <c r="B709" s="24" t="s">
        <v>1852</v>
      </c>
      <c r="C709" s="24">
        <v>0.3</v>
      </c>
      <c r="D709" s="24">
        <v>1265</v>
      </c>
      <c r="E709" s="24">
        <v>2520</v>
      </c>
      <c r="F709" s="30" t="s">
        <v>1252</v>
      </c>
      <c r="G709" s="24" t="s">
        <v>1296</v>
      </c>
      <c r="H709" s="24" t="s">
        <v>1768</v>
      </c>
      <c r="I709" s="24" t="s">
        <v>1297</v>
      </c>
      <c r="K709" s="24" t="s">
        <v>1224</v>
      </c>
      <c r="L709" s="24" t="s">
        <v>1225</v>
      </c>
      <c r="M709" s="24" t="str">
        <f t="shared" si="11"/>
        <v>XWMRWB06</v>
      </c>
    </row>
    <row r="710" spans="1:13" ht="11.4" customHeight="1">
      <c r="A710" s="24" t="s">
        <v>1901</v>
      </c>
      <c r="B710" s="24" t="s">
        <v>1852</v>
      </c>
      <c r="C710" s="24">
        <v>0.3</v>
      </c>
      <c r="D710" s="24">
        <v>1265</v>
      </c>
      <c r="E710" s="24">
        <v>2520</v>
      </c>
      <c r="F710" s="24" t="s">
        <v>1221</v>
      </c>
      <c r="G710" s="24" t="s">
        <v>1296</v>
      </c>
      <c r="H710" s="24" t="s">
        <v>1278</v>
      </c>
      <c r="I710" s="24" t="s">
        <v>1297</v>
      </c>
      <c r="K710" s="24" t="s">
        <v>1224</v>
      </c>
      <c r="L710" s="24" t="s">
        <v>1225</v>
      </c>
      <c r="M710" s="24" t="str">
        <f t="shared" si="11"/>
        <v>XWMRWC01</v>
      </c>
    </row>
    <row r="711" spans="1:13" ht="11.4" customHeight="1">
      <c r="A711" s="24" t="s">
        <v>1902</v>
      </c>
      <c r="B711" s="24" t="s">
        <v>1852</v>
      </c>
      <c r="C711" s="24">
        <v>0.3</v>
      </c>
      <c r="D711" s="24">
        <v>1265</v>
      </c>
      <c r="E711" s="24">
        <v>2520</v>
      </c>
      <c r="F711" s="30" t="s">
        <v>1252</v>
      </c>
      <c r="G711" s="24" t="s">
        <v>1296</v>
      </c>
      <c r="H711" s="24" t="s">
        <v>1278</v>
      </c>
      <c r="I711" s="24" t="s">
        <v>1297</v>
      </c>
      <c r="K711" s="24" t="s">
        <v>1224</v>
      </c>
      <c r="L711" s="24" t="s">
        <v>1225</v>
      </c>
      <c r="M711" s="24" t="str">
        <f t="shared" si="11"/>
        <v>XWMRWC02</v>
      </c>
    </row>
    <row r="712" spans="1:13" ht="11.4" customHeight="1">
      <c r="A712" s="24" t="s">
        <v>502</v>
      </c>
      <c r="B712" s="24" t="s">
        <v>1852</v>
      </c>
      <c r="C712" s="24">
        <v>0.3</v>
      </c>
      <c r="D712" s="24">
        <v>1265</v>
      </c>
      <c r="E712" s="24">
        <v>2520</v>
      </c>
      <c r="F712" s="24" t="s">
        <v>1221</v>
      </c>
      <c r="G712" s="24" t="s">
        <v>1296</v>
      </c>
      <c r="H712" s="24" t="s">
        <v>1278</v>
      </c>
      <c r="I712" s="24" t="s">
        <v>1297</v>
      </c>
      <c r="K712" s="24" t="s">
        <v>1224</v>
      </c>
      <c r="L712" s="24" t="s">
        <v>1225</v>
      </c>
      <c r="M712" s="24" t="str">
        <f t="shared" si="11"/>
        <v>XWMRWC01</v>
      </c>
    </row>
    <row r="713" spans="1:13" ht="11.4" customHeight="1">
      <c r="A713" s="24" t="s">
        <v>499</v>
      </c>
      <c r="B713" s="24" t="s">
        <v>1852</v>
      </c>
      <c r="C713" s="24">
        <v>0.3</v>
      </c>
      <c r="D713" s="24">
        <v>1265</v>
      </c>
      <c r="E713" s="24">
        <v>2520</v>
      </c>
      <c r="F713" s="24" t="s">
        <v>1252</v>
      </c>
      <c r="G713" s="24" t="s">
        <v>1296</v>
      </c>
      <c r="H713" s="24" t="s">
        <v>1278</v>
      </c>
      <c r="I713" s="24" t="s">
        <v>1297</v>
      </c>
      <c r="K713" s="24" t="s">
        <v>1224</v>
      </c>
      <c r="L713" s="24" t="s">
        <v>1225</v>
      </c>
      <c r="M713" s="24" t="str">
        <f t="shared" si="11"/>
        <v>XWMRWC02</v>
      </c>
    </row>
    <row r="714" spans="1:13" ht="11.4" customHeight="1">
      <c r="A714" s="24" t="s">
        <v>1903</v>
      </c>
      <c r="B714" s="24" t="s">
        <v>1852</v>
      </c>
      <c r="C714" s="24">
        <v>0.3</v>
      </c>
      <c r="D714" s="24">
        <v>1265</v>
      </c>
      <c r="E714" s="24">
        <v>2520</v>
      </c>
      <c r="F714" s="30" t="s">
        <v>1252</v>
      </c>
      <c r="G714" s="24" t="s">
        <v>1296</v>
      </c>
      <c r="H714" s="24" t="s">
        <v>1904</v>
      </c>
      <c r="I714" s="24" t="s">
        <v>1297</v>
      </c>
      <c r="K714" s="24" t="s">
        <v>1224</v>
      </c>
      <c r="L714" s="24" t="s">
        <v>1225</v>
      </c>
      <c r="M714" s="24" t="str">
        <f t="shared" si="11"/>
        <v>XWMRWC09</v>
      </c>
    </row>
    <row r="715" spans="1:13" ht="11.4" customHeight="1">
      <c r="A715" s="24" t="s">
        <v>1905</v>
      </c>
      <c r="B715" s="24" t="s">
        <v>1852</v>
      </c>
      <c r="C715" s="24">
        <v>0.3</v>
      </c>
      <c r="D715" s="24">
        <v>1265</v>
      </c>
      <c r="E715" s="24">
        <v>2520</v>
      </c>
      <c r="F715" s="30" t="s">
        <v>1252</v>
      </c>
      <c r="G715" s="24" t="s">
        <v>1296</v>
      </c>
      <c r="H715" s="24" t="s">
        <v>1904</v>
      </c>
      <c r="I715" s="24" t="s">
        <v>1297</v>
      </c>
      <c r="K715" s="24" t="s">
        <v>1224</v>
      </c>
      <c r="L715" s="24" t="s">
        <v>1225</v>
      </c>
      <c r="M715" s="24" t="str">
        <f t="shared" si="11"/>
        <v>XWMRWC09</v>
      </c>
    </row>
    <row r="716" spans="1:13" ht="11.4" customHeight="1">
      <c r="A716" s="24" t="s">
        <v>1906</v>
      </c>
      <c r="B716" s="24" t="s">
        <v>1852</v>
      </c>
      <c r="C716" s="24">
        <v>0.3</v>
      </c>
      <c r="D716" s="24">
        <v>1265</v>
      </c>
      <c r="E716" s="24">
        <v>2520</v>
      </c>
      <c r="F716" s="30" t="s">
        <v>1252</v>
      </c>
      <c r="G716" s="24" t="s">
        <v>1296</v>
      </c>
      <c r="H716" s="24" t="s">
        <v>1907</v>
      </c>
      <c r="I716" s="24" t="s">
        <v>1297</v>
      </c>
      <c r="K716" s="24" t="s">
        <v>1224</v>
      </c>
      <c r="L716" s="24" t="s">
        <v>1225</v>
      </c>
      <c r="M716" s="24" t="str">
        <f t="shared" si="11"/>
        <v>XWMRWC10</v>
      </c>
    </row>
    <row r="717" spans="1:13" ht="11.4" customHeight="1">
      <c r="A717" s="24" t="s">
        <v>1908</v>
      </c>
      <c r="B717" s="24" t="s">
        <v>1852</v>
      </c>
      <c r="C717" s="24">
        <v>0.3</v>
      </c>
      <c r="D717" s="24">
        <v>1265</v>
      </c>
      <c r="E717" s="24">
        <v>2520</v>
      </c>
      <c r="F717" s="30" t="s">
        <v>1252</v>
      </c>
      <c r="G717" s="24" t="s">
        <v>1296</v>
      </c>
      <c r="H717" s="24" t="s">
        <v>1907</v>
      </c>
      <c r="I717" s="24" t="s">
        <v>1297</v>
      </c>
      <c r="K717" s="24" t="s">
        <v>1224</v>
      </c>
      <c r="L717" s="24" t="s">
        <v>1225</v>
      </c>
      <c r="M717" s="24" t="str">
        <f t="shared" si="11"/>
        <v>XWMRWC10</v>
      </c>
    </row>
    <row r="718" spans="1:13" ht="11.4" customHeight="1">
      <c r="A718" s="24" t="s">
        <v>1909</v>
      </c>
      <c r="B718" s="24" t="s">
        <v>1852</v>
      </c>
      <c r="C718" s="24">
        <v>0.3</v>
      </c>
      <c r="D718" s="24">
        <v>1265</v>
      </c>
      <c r="E718" s="24">
        <v>2520</v>
      </c>
      <c r="F718" s="30" t="s">
        <v>1252</v>
      </c>
      <c r="G718" s="24" t="s">
        <v>1296</v>
      </c>
      <c r="H718" s="24" t="s">
        <v>1910</v>
      </c>
      <c r="I718" s="24" t="s">
        <v>1297</v>
      </c>
      <c r="K718" s="24" t="s">
        <v>1224</v>
      </c>
      <c r="L718" s="24" t="s">
        <v>1225</v>
      </c>
      <c r="M718" s="24" t="str">
        <f t="shared" si="11"/>
        <v>XWMRWC03</v>
      </c>
    </row>
    <row r="719" spans="1:13" ht="11.4" customHeight="1">
      <c r="A719" s="24" t="s">
        <v>458</v>
      </c>
      <c r="B719" s="24" t="s">
        <v>1852</v>
      </c>
      <c r="C719" s="24">
        <v>0.3</v>
      </c>
      <c r="D719" s="24">
        <v>1265</v>
      </c>
      <c r="E719" s="24">
        <v>2520</v>
      </c>
      <c r="F719" s="30" t="s">
        <v>1252</v>
      </c>
      <c r="G719" s="24" t="s">
        <v>1296</v>
      </c>
      <c r="H719" s="24" t="s">
        <v>1910</v>
      </c>
      <c r="I719" s="24" t="s">
        <v>1297</v>
      </c>
      <c r="K719" s="24" t="s">
        <v>1224</v>
      </c>
      <c r="L719" s="24" t="s">
        <v>1225</v>
      </c>
      <c r="M719" s="24" t="str">
        <f t="shared" si="11"/>
        <v>XWMRWC03</v>
      </c>
    </row>
    <row r="720" spans="1:13" ht="11.4" customHeight="1">
      <c r="A720" s="24" t="s">
        <v>1911</v>
      </c>
      <c r="B720" s="24" t="s">
        <v>1852</v>
      </c>
      <c r="C720" s="24">
        <v>0.3</v>
      </c>
      <c r="D720" s="24">
        <v>815</v>
      </c>
      <c r="E720" s="24">
        <v>2200</v>
      </c>
      <c r="F720" s="30" t="s">
        <v>1252</v>
      </c>
      <c r="G720" s="24" t="s">
        <v>1296</v>
      </c>
      <c r="H720" s="24" t="s">
        <v>1380</v>
      </c>
      <c r="I720" s="24" t="s">
        <v>1223</v>
      </c>
      <c r="K720" s="24" t="s">
        <v>1224</v>
      </c>
      <c r="L720" s="24" t="s">
        <v>1339</v>
      </c>
      <c r="M720" s="24" t="str">
        <f t="shared" si="11"/>
        <v>XWMRBA01</v>
      </c>
    </row>
    <row r="721" spans="1:13" ht="11.4" customHeight="1">
      <c r="A721" s="24" t="s">
        <v>1912</v>
      </c>
      <c r="B721" s="24" t="s">
        <v>1852</v>
      </c>
      <c r="C721" s="24">
        <v>0.3</v>
      </c>
      <c r="D721" s="24">
        <v>865</v>
      </c>
      <c r="E721" s="24">
        <v>2200</v>
      </c>
      <c r="F721" s="30" t="s">
        <v>1252</v>
      </c>
      <c r="G721" s="24" t="s">
        <v>1296</v>
      </c>
      <c r="H721" s="24" t="s">
        <v>1380</v>
      </c>
      <c r="I721" s="24" t="s">
        <v>1223</v>
      </c>
      <c r="K721" s="24" t="s">
        <v>1224</v>
      </c>
      <c r="L721" s="24" t="s">
        <v>1339</v>
      </c>
      <c r="M721" s="24" t="str">
        <f t="shared" si="11"/>
        <v>XWMRBA02</v>
      </c>
    </row>
    <row r="722" spans="1:13" ht="11.4" customHeight="1">
      <c r="A722" s="24" t="s">
        <v>1913</v>
      </c>
      <c r="B722" s="24" t="s">
        <v>1852</v>
      </c>
      <c r="C722" s="24">
        <v>0.3</v>
      </c>
      <c r="D722" s="24">
        <v>965</v>
      </c>
      <c r="E722" s="24">
        <v>2200</v>
      </c>
      <c r="F722" s="30" t="s">
        <v>1252</v>
      </c>
      <c r="G722" s="24" t="s">
        <v>1296</v>
      </c>
      <c r="H722" s="24" t="s">
        <v>1380</v>
      </c>
      <c r="I722" s="24" t="s">
        <v>1223</v>
      </c>
      <c r="K722" s="24" t="s">
        <v>1224</v>
      </c>
      <c r="L722" s="24" t="s">
        <v>1339</v>
      </c>
      <c r="M722" s="24" t="str">
        <f t="shared" si="11"/>
        <v>XWMRBA03</v>
      </c>
    </row>
    <row r="723" spans="1:13" ht="11.4" customHeight="1">
      <c r="A723" s="24" t="s">
        <v>1914</v>
      </c>
      <c r="B723" s="24" t="s">
        <v>1852</v>
      </c>
      <c r="C723" s="24">
        <v>0.3</v>
      </c>
      <c r="D723" s="24">
        <v>815</v>
      </c>
      <c r="E723" s="24">
        <v>2200</v>
      </c>
      <c r="F723" s="30" t="s">
        <v>1252</v>
      </c>
      <c r="G723" s="24" t="s">
        <v>1296</v>
      </c>
      <c r="H723" s="24" t="s">
        <v>1380</v>
      </c>
      <c r="I723" s="24" t="s">
        <v>1223</v>
      </c>
      <c r="K723" s="24" t="s">
        <v>1224</v>
      </c>
      <c r="L723" s="24" t="s">
        <v>1339</v>
      </c>
      <c r="M723" s="24" t="str">
        <f t="shared" si="11"/>
        <v>XWMRBA01</v>
      </c>
    </row>
    <row r="724" spans="1:13" ht="11.4" customHeight="1">
      <c r="A724" s="24" t="s">
        <v>1915</v>
      </c>
      <c r="B724" s="24" t="s">
        <v>1852</v>
      </c>
      <c r="C724" s="24">
        <v>0.3</v>
      </c>
      <c r="D724" s="24">
        <v>865</v>
      </c>
      <c r="E724" s="24">
        <v>2200</v>
      </c>
      <c r="F724" s="30" t="s">
        <v>1252</v>
      </c>
      <c r="G724" s="24" t="s">
        <v>1296</v>
      </c>
      <c r="H724" s="24" t="s">
        <v>1380</v>
      </c>
      <c r="I724" s="24" t="s">
        <v>1223</v>
      </c>
      <c r="K724" s="24" t="s">
        <v>1224</v>
      </c>
      <c r="L724" s="24" t="s">
        <v>1339</v>
      </c>
      <c r="M724" s="24" t="str">
        <f t="shared" si="11"/>
        <v>XWMRBA02</v>
      </c>
    </row>
    <row r="725" spans="1:13" ht="11.4" customHeight="1">
      <c r="A725" s="24" t="s">
        <v>1916</v>
      </c>
      <c r="B725" s="24" t="s">
        <v>1852</v>
      </c>
      <c r="C725" s="24">
        <v>0.3</v>
      </c>
      <c r="D725" s="24">
        <v>965</v>
      </c>
      <c r="E725" s="24">
        <v>2200</v>
      </c>
      <c r="F725" s="30" t="s">
        <v>1252</v>
      </c>
      <c r="G725" s="24" t="s">
        <v>1296</v>
      </c>
      <c r="H725" s="24" t="s">
        <v>1380</v>
      </c>
      <c r="I725" s="24" t="s">
        <v>1223</v>
      </c>
      <c r="K725" s="24" t="s">
        <v>1224</v>
      </c>
      <c r="L725" s="24" t="s">
        <v>1339</v>
      </c>
      <c r="M725" s="24" t="str">
        <f t="shared" si="11"/>
        <v>XWMRBA03</v>
      </c>
    </row>
    <row r="726" spans="1:13" ht="11.4" customHeight="1">
      <c r="A726" s="24" t="s">
        <v>1917</v>
      </c>
      <c r="B726" s="24" t="s">
        <v>1852</v>
      </c>
      <c r="C726" s="24">
        <v>0.3</v>
      </c>
      <c r="D726" s="24">
        <v>965</v>
      </c>
      <c r="E726" s="24">
        <v>2250</v>
      </c>
      <c r="F726" s="30" t="s">
        <v>1252</v>
      </c>
      <c r="G726" s="24" t="s">
        <v>1296</v>
      </c>
      <c r="H726" s="24" t="s">
        <v>1380</v>
      </c>
      <c r="I726" s="24" t="s">
        <v>1223</v>
      </c>
      <c r="K726" s="24" t="s">
        <v>1224</v>
      </c>
      <c r="L726" s="24" t="s">
        <v>1339</v>
      </c>
      <c r="M726" s="24" t="str">
        <f t="shared" si="11"/>
        <v>XWMRBA04</v>
      </c>
    </row>
    <row r="727" spans="1:13" ht="11.4" customHeight="1">
      <c r="A727" s="24" t="s">
        <v>1918</v>
      </c>
      <c r="B727" s="24" t="s">
        <v>1852</v>
      </c>
      <c r="C727" s="24">
        <v>0.3</v>
      </c>
      <c r="D727" s="24">
        <v>965</v>
      </c>
      <c r="E727" s="24">
        <v>2250</v>
      </c>
      <c r="F727" s="30" t="s">
        <v>1252</v>
      </c>
      <c r="G727" s="24" t="s">
        <v>1296</v>
      </c>
      <c r="H727" s="24" t="s">
        <v>1380</v>
      </c>
      <c r="I727" s="24" t="s">
        <v>1223</v>
      </c>
      <c r="K727" s="24" t="s">
        <v>1224</v>
      </c>
      <c r="L727" s="24" t="s">
        <v>1339</v>
      </c>
      <c r="M727" s="24" t="str">
        <f t="shared" si="11"/>
        <v>XWMRBA04</v>
      </c>
    </row>
    <row r="728" spans="1:13" ht="11.4" customHeight="1">
      <c r="A728" s="24" t="s">
        <v>1919</v>
      </c>
      <c r="B728" s="24" t="s">
        <v>1852</v>
      </c>
      <c r="C728" s="24">
        <v>0.3</v>
      </c>
      <c r="D728" s="24">
        <v>965</v>
      </c>
      <c r="E728" s="24">
        <v>2520</v>
      </c>
      <c r="F728" s="30" t="s">
        <v>1252</v>
      </c>
      <c r="G728" s="24" t="s">
        <v>1296</v>
      </c>
      <c r="H728" s="24" t="s">
        <v>1380</v>
      </c>
      <c r="I728" s="24" t="s">
        <v>1223</v>
      </c>
      <c r="K728" s="24" t="s">
        <v>1224</v>
      </c>
      <c r="L728" s="24" t="s">
        <v>1339</v>
      </c>
      <c r="M728" s="24" t="str">
        <f t="shared" si="11"/>
        <v>XWMRBA05</v>
      </c>
    </row>
    <row r="729" spans="1:13" ht="11.4" customHeight="1">
      <c r="A729" s="24" t="s">
        <v>1920</v>
      </c>
      <c r="B729" s="24" t="s">
        <v>1852</v>
      </c>
      <c r="C729" s="24">
        <v>0.3</v>
      </c>
      <c r="D729" s="24">
        <v>965</v>
      </c>
      <c r="E729" s="24">
        <v>2520</v>
      </c>
      <c r="F729" s="30" t="s">
        <v>1252</v>
      </c>
      <c r="G729" s="24" t="s">
        <v>1296</v>
      </c>
      <c r="H729" s="24" t="s">
        <v>1380</v>
      </c>
      <c r="I729" s="24" t="s">
        <v>1223</v>
      </c>
      <c r="K729" s="24" t="s">
        <v>1224</v>
      </c>
      <c r="L729" s="24" t="s">
        <v>1339</v>
      </c>
      <c r="M729" s="24" t="str">
        <f t="shared" si="11"/>
        <v>XWMRBA05</v>
      </c>
    </row>
    <row r="730" spans="1:13" ht="11.4" customHeight="1">
      <c r="A730" s="24" t="s">
        <v>1921</v>
      </c>
      <c r="B730" s="24" t="s">
        <v>1852</v>
      </c>
      <c r="C730" s="24">
        <v>0.3</v>
      </c>
      <c r="D730" s="24">
        <v>815</v>
      </c>
      <c r="E730" s="24">
        <v>2200</v>
      </c>
      <c r="F730" s="30" t="s">
        <v>1252</v>
      </c>
      <c r="G730" s="24" t="s">
        <v>1296</v>
      </c>
      <c r="H730" s="24" t="s">
        <v>1380</v>
      </c>
      <c r="I730" s="24" t="s">
        <v>1297</v>
      </c>
      <c r="K730" s="24" t="s">
        <v>1224</v>
      </c>
      <c r="L730" s="24" t="s">
        <v>1339</v>
      </c>
      <c r="M730" s="24" t="str">
        <f t="shared" si="11"/>
        <v>XWMRWA02</v>
      </c>
    </row>
    <row r="731" spans="1:13" ht="11.4" customHeight="1">
      <c r="A731" s="24" t="s">
        <v>1922</v>
      </c>
      <c r="B731" s="24" t="s">
        <v>1852</v>
      </c>
      <c r="C731" s="24">
        <v>0.3</v>
      </c>
      <c r="D731" s="24">
        <v>865</v>
      </c>
      <c r="E731" s="24">
        <v>2200</v>
      </c>
      <c r="F731" s="30" t="s">
        <v>1252</v>
      </c>
      <c r="G731" s="24" t="s">
        <v>1296</v>
      </c>
      <c r="H731" s="24" t="s">
        <v>1380</v>
      </c>
      <c r="I731" s="24" t="s">
        <v>1297</v>
      </c>
      <c r="K731" s="24" t="s">
        <v>1224</v>
      </c>
      <c r="L731" s="24" t="s">
        <v>1339</v>
      </c>
      <c r="M731" s="24" t="str">
        <f t="shared" si="11"/>
        <v>XWMRWA03</v>
      </c>
    </row>
    <row r="732" spans="1:13" ht="11.4" customHeight="1">
      <c r="A732" s="24" t="s">
        <v>1923</v>
      </c>
      <c r="B732" s="24" t="s">
        <v>1852</v>
      </c>
      <c r="C732" s="24">
        <v>0.3</v>
      </c>
      <c r="D732" s="24">
        <v>965</v>
      </c>
      <c r="E732" s="24">
        <v>2200</v>
      </c>
      <c r="F732" s="30" t="s">
        <v>1252</v>
      </c>
      <c r="G732" s="24" t="s">
        <v>1296</v>
      </c>
      <c r="H732" s="24" t="s">
        <v>1380</v>
      </c>
      <c r="I732" s="24" t="s">
        <v>1297</v>
      </c>
      <c r="K732" s="24" t="s">
        <v>1224</v>
      </c>
      <c r="L732" s="24" t="s">
        <v>1339</v>
      </c>
      <c r="M732" s="24" t="str">
        <f t="shared" si="11"/>
        <v>XWMRWA04</v>
      </c>
    </row>
    <row r="733" spans="1:13" ht="11.4" customHeight="1">
      <c r="A733" s="24" t="s">
        <v>1924</v>
      </c>
      <c r="B733" s="24" t="s">
        <v>1852</v>
      </c>
      <c r="C733" s="24">
        <v>0.3</v>
      </c>
      <c r="D733" s="24">
        <v>815</v>
      </c>
      <c r="E733" s="24">
        <v>2200</v>
      </c>
      <c r="F733" s="30" t="s">
        <v>1252</v>
      </c>
      <c r="G733" s="24" t="s">
        <v>1296</v>
      </c>
      <c r="H733" s="24" t="s">
        <v>1380</v>
      </c>
      <c r="I733" s="24" t="s">
        <v>1297</v>
      </c>
      <c r="K733" s="24" t="s">
        <v>1224</v>
      </c>
      <c r="L733" s="24" t="s">
        <v>1339</v>
      </c>
      <c r="M733" s="24" t="str">
        <f t="shared" si="11"/>
        <v>XWMRWA02</v>
      </c>
    </row>
    <row r="734" spans="1:13" ht="11.4" customHeight="1">
      <c r="A734" s="24" t="s">
        <v>1925</v>
      </c>
      <c r="B734" s="24" t="s">
        <v>1852</v>
      </c>
      <c r="C734" s="24">
        <v>0.3</v>
      </c>
      <c r="D734" s="24">
        <v>865</v>
      </c>
      <c r="E734" s="24">
        <v>2200</v>
      </c>
      <c r="F734" s="30" t="s">
        <v>1252</v>
      </c>
      <c r="G734" s="24" t="s">
        <v>1296</v>
      </c>
      <c r="H734" s="24" t="s">
        <v>1380</v>
      </c>
      <c r="I734" s="24" t="s">
        <v>1297</v>
      </c>
      <c r="K734" s="24" t="s">
        <v>1224</v>
      </c>
      <c r="L734" s="24" t="s">
        <v>1339</v>
      </c>
      <c r="M734" s="24" t="str">
        <f t="shared" si="11"/>
        <v>XWMRWA03</v>
      </c>
    </row>
    <row r="735" spans="1:13" ht="11.4" customHeight="1">
      <c r="A735" s="24" t="s">
        <v>1926</v>
      </c>
      <c r="B735" s="24" t="s">
        <v>1852</v>
      </c>
      <c r="C735" s="24">
        <v>0.3</v>
      </c>
      <c r="D735" s="24">
        <v>965</v>
      </c>
      <c r="E735" s="24">
        <v>2200</v>
      </c>
      <c r="F735" s="30" t="s">
        <v>1252</v>
      </c>
      <c r="G735" s="24" t="s">
        <v>1296</v>
      </c>
      <c r="H735" s="24" t="s">
        <v>1380</v>
      </c>
      <c r="I735" s="24" t="s">
        <v>1297</v>
      </c>
      <c r="K735" s="24" t="s">
        <v>1224</v>
      </c>
      <c r="L735" s="24" t="s">
        <v>1339</v>
      </c>
      <c r="M735" s="24" t="str">
        <f t="shared" si="11"/>
        <v>XWMRWA04</v>
      </c>
    </row>
    <row r="736" spans="1:13" ht="11.4" customHeight="1">
      <c r="A736" s="24" t="s">
        <v>1927</v>
      </c>
      <c r="B736" s="24" t="s">
        <v>1852</v>
      </c>
      <c r="C736" s="24">
        <v>0.3</v>
      </c>
      <c r="D736" s="24">
        <v>965</v>
      </c>
      <c r="E736" s="24">
        <v>2250</v>
      </c>
      <c r="F736" s="30" t="s">
        <v>1252</v>
      </c>
      <c r="G736" s="24" t="s">
        <v>1296</v>
      </c>
      <c r="H736" s="24" t="s">
        <v>1380</v>
      </c>
      <c r="I736" s="24" t="s">
        <v>1297</v>
      </c>
      <c r="K736" s="24" t="s">
        <v>1224</v>
      </c>
      <c r="L736" s="24" t="s">
        <v>1339</v>
      </c>
      <c r="M736" s="24" t="str">
        <f t="shared" si="11"/>
        <v>XWMRWA05</v>
      </c>
    </row>
    <row r="737" spans="1:13" ht="11.4" customHeight="1">
      <c r="A737" s="24" t="s">
        <v>1928</v>
      </c>
      <c r="B737" s="24" t="s">
        <v>1852</v>
      </c>
      <c r="C737" s="24">
        <v>0.3</v>
      </c>
      <c r="D737" s="24">
        <v>965</v>
      </c>
      <c r="E737" s="24">
        <v>2250</v>
      </c>
      <c r="F737" s="30" t="s">
        <v>1252</v>
      </c>
      <c r="G737" s="24" t="s">
        <v>1296</v>
      </c>
      <c r="H737" s="24" t="s">
        <v>1380</v>
      </c>
      <c r="I737" s="24" t="s">
        <v>1297</v>
      </c>
      <c r="K737" s="24" t="s">
        <v>1224</v>
      </c>
      <c r="L737" s="24" t="s">
        <v>1339</v>
      </c>
      <c r="M737" s="24" t="str">
        <f t="shared" si="11"/>
        <v>XWMRWA05</v>
      </c>
    </row>
    <row r="738" spans="1:13" ht="11.4" customHeight="1">
      <c r="A738" s="24" t="s">
        <v>1929</v>
      </c>
      <c r="B738" s="24" t="s">
        <v>1852</v>
      </c>
      <c r="C738" s="24">
        <v>0.3</v>
      </c>
      <c r="D738" s="24">
        <v>965</v>
      </c>
      <c r="E738" s="24">
        <v>2520</v>
      </c>
      <c r="F738" s="30" t="s">
        <v>1252</v>
      </c>
      <c r="G738" s="24" t="s">
        <v>1296</v>
      </c>
      <c r="H738" s="24" t="s">
        <v>1380</v>
      </c>
      <c r="I738" s="24" t="s">
        <v>1297</v>
      </c>
      <c r="K738" s="24" t="s">
        <v>1224</v>
      </c>
      <c r="L738" s="24" t="s">
        <v>1339</v>
      </c>
      <c r="M738" s="24" t="str">
        <f t="shared" si="11"/>
        <v>XWMRWA06</v>
      </c>
    </row>
    <row r="739" spans="1:13" ht="11.4" customHeight="1">
      <c r="A739" s="24" t="s">
        <v>1930</v>
      </c>
      <c r="B739" s="24" t="s">
        <v>1852</v>
      </c>
      <c r="C739" s="24">
        <v>0.3</v>
      </c>
      <c r="D739" s="24">
        <v>1265</v>
      </c>
      <c r="E739" s="24">
        <v>2520</v>
      </c>
      <c r="F739" s="30" t="s">
        <v>1252</v>
      </c>
      <c r="G739" s="24" t="s">
        <v>1296</v>
      </c>
      <c r="H739" s="24" t="s">
        <v>1380</v>
      </c>
      <c r="I739" s="24" t="s">
        <v>1297</v>
      </c>
      <c r="K739" s="24" t="s">
        <v>1224</v>
      </c>
      <c r="L739" s="24" t="s">
        <v>1339</v>
      </c>
      <c r="M739" s="24" t="str">
        <f t="shared" si="11"/>
        <v>XWMRWA07</v>
      </c>
    </row>
    <row r="740" spans="1:13" ht="11.4" customHeight="1">
      <c r="A740" s="24" t="s">
        <v>1931</v>
      </c>
      <c r="B740" s="24" t="s">
        <v>1852</v>
      </c>
      <c r="C740" s="24">
        <v>0.3</v>
      </c>
      <c r="D740" s="24">
        <v>965</v>
      </c>
      <c r="E740" s="24">
        <v>2520</v>
      </c>
      <c r="F740" s="30" t="s">
        <v>1252</v>
      </c>
      <c r="G740" s="24" t="s">
        <v>1296</v>
      </c>
      <c r="H740" s="24" t="s">
        <v>1380</v>
      </c>
      <c r="I740" s="24" t="s">
        <v>1297</v>
      </c>
      <c r="K740" s="24" t="s">
        <v>1224</v>
      </c>
      <c r="L740" s="24" t="s">
        <v>1339</v>
      </c>
      <c r="M740" s="24" t="str">
        <f t="shared" si="11"/>
        <v>XWMRWA06</v>
      </c>
    </row>
    <row r="741" spans="1:13" ht="11.4" customHeight="1">
      <c r="A741" s="24" t="s">
        <v>1932</v>
      </c>
      <c r="B741" s="24" t="s">
        <v>1852</v>
      </c>
      <c r="C741" s="24">
        <v>0.3</v>
      </c>
      <c r="D741" s="24">
        <v>1265</v>
      </c>
      <c r="E741" s="24">
        <v>2520</v>
      </c>
      <c r="F741" s="30" t="s">
        <v>1252</v>
      </c>
      <c r="G741" s="24" t="s">
        <v>1296</v>
      </c>
      <c r="H741" s="24" t="s">
        <v>1380</v>
      </c>
      <c r="I741" s="24" t="s">
        <v>1297</v>
      </c>
      <c r="K741" s="24" t="s">
        <v>1224</v>
      </c>
      <c r="L741" s="24" t="s">
        <v>1339</v>
      </c>
      <c r="M741" s="24" t="str">
        <f t="shared" si="11"/>
        <v>XWMRWA07</v>
      </c>
    </row>
    <row r="742" spans="1:13" ht="11.4" customHeight="1">
      <c r="A742" s="24" t="s">
        <v>1933</v>
      </c>
      <c r="B742" s="24" t="s">
        <v>1852</v>
      </c>
      <c r="C742" s="24">
        <v>0.3</v>
      </c>
      <c r="D742" s="24">
        <v>660</v>
      </c>
      <c r="E742" s="24">
        <v>2200</v>
      </c>
      <c r="F742" s="30" t="s">
        <v>1252</v>
      </c>
      <c r="G742" s="24" t="s">
        <v>1296</v>
      </c>
      <c r="H742" s="24" t="s">
        <v>1115</v>
      </c>
      <c r="I742" s="24" t="s">
        <v>1297</v>
      </c>
      <c r="K742" s="24" t="s">
        <v>1224</v>
      </c>
      <c r="L742" s="24" t="s">
        <v>1339</v>
      </c>
      <c r="M742" s="24" t="str">
        <f t="shared" si="11"/>
        <v>XWMRWF01</v>
      </c>
    </row>
    <row r="743" spans="1:13" ht="11.4" customHeight="1">
      <c r="A743" s="24" t="s">
        <v>1934</v>
      </c>
      <c r="B743" s="24" t="s">
        <v>1852</v>
      </c>
      <c r="C743" s="24">
        <v>0.3</v>
      </c>
      <c r="D743" s="24">
        <v>660</v>
      </c>
      <c r="E743" s="24">
        <v>2200</v>
      </c>
      <c r="F743" s="30" t="s">
        <v>1252</v>
      </c>
      <c r="G743" s="24" t="s">
        <v>1296</v>
      </c>
      <c r="H743" s="24" t="s">
        <v>1115</v>
      </c>
      <c r="I743" s="24" t="s">
        <v>1297</v>
      </c>
      <c r="K743" s="24" t="s">
        <v>1224</v>
      </c>
      <c r="L743" s="24" t="s">
        <v>1339</v>
      </c>
      <c r="M743" s="24" t="str">
        <f t="shared" si="11"/>
        <v>XWMRWF01</v>
      </c>
    </row>
    <row r="744" spans="1:13" ht="11.4" customHeight="1">
      <c r="A744" s="24" t="s">
        <v>1935</v>
      </c>
      <c r="B744" s="24" t="s">
        <v>1852</v>
      </c>
      <c r="C744" s="24">
        <v>0.3</v>
      </c>
      <c r="D744" s="24">
        <v>965</v>
      </c>
      <c r="E744" s="24">
        <v>2250</v>
      </c>
      <c r="F744" s="24" t="s">
        <v>1252</v>
      </c>
      <c r="G744" s="24" t="s">
        <v>1296</v>
      </c>
      <c r="H744" s="24" t="s">
        <v>1115</v>
      </c>
      <c r="I744" s="24" t="s">
        <v>1297</v>
      </c>
      <c r="K744" s="24" t="s">
        <v>1224</v>
      </c>
      <c r="L744" s="24" t="s">
        <v>1339</v>
      </c>
      <c r="M744" s="24" t="str">
        <f t="shared" si="11"/>
        <v>XWMRWF02</v>
      </c>
    </row>
    <row r="745" spans="1:13" ht="11.4" customHeight="1">
      <c r="A745" s="24" t="s">
        <v>1936</v>
      </c>
      <c r="B745" s="24" t="s">
        <v>1852</v>
      </c>
      <c r="C745" s="24">
        <v>0.3</v>
      </c>
      <c r="D745" s="24">
        <v>965</v>
      </c>
      <c r="E745" s="24">
        <v>2250</v>
      </c>
      <c r="F745" s="30" t="s">
        <v>1252</v>
      </c>
      <c r="G745" s="24" t="s">
        <v>1296</v>
      </c>
      <c r="H745" s="24" t="s">
        <v>1115</v>
      </c>
      <c r="I745" s="24" t="s">
        <v>1297</v>
      </c>
      <c r="K745" s="24" t="s">
        <v>1224</v>
      </c>
      <c r="L745" s="24" t="s">
        <v>1339</v>
      </c>
      <c r="M745" s="24" t="str">
        <f t="shared" si="11"/>
        <v>XWMRWF02</v>
      </c>
    </row>
    <row r="746" spans="1:13" ht="11.4" customHeight="1">
      <c r="A746" s="24" t="s">
        <v>1937</v>
      </c>
      <c r="B746" s="24" t="s">
        <v>1852</v>
      </c>
      <c r="C746" s="24">
        <v>0.3</v>
      </c>
      <c r="D746" s="24">
        <v>1265</v>
      </c>
      <c r="E746" s="24">
        <v>2520</v>
      </c>
      <c r="F746" s="30" t="s">
        <v>1221</v>
      </c>
      <c r="G746" s="24" t="s">
        <v>1240</v>
      </c>
      <c r="H746" s="24" t="s">
        <v>1250</v>
      </c>
      <c r="I746" s="24" t="s">
        <v>1240</v>
      </c>
      <c r="K746" s="24" t="s">
        <v>1224</v>
      </c>
      <c r="L746" s="24" t="s">
        <v>1225</v>
      </c>
      <c r="M746" s="24" t="str">
        <f t="shared" si="11"/>
        <v>XWMZZ401</v>
      </c>
    </row>
    <row r="747" spans="1:13" ht="11.4" customHeight="1">
      <c r="A747" s="24" t="s">
        <v>1938</v>
      </c>
      <c r="B747" s="24" t="s">
        <v>1852</v>
      </c>
      <c r="C747" s="24">
        <v>0.3</v>
      </c>
      <c r="D747" s="24">
        <v>1265</v>
      </c>
      <c r="E747" s="24">
        <v>2520</v>
      </c>
      <c r="F747" s="30" t="s">
        <v>1221</v>
      </c>
      <c r="G747" s="24" t="s">
        <v>1240</v>
      </c>
      <c r="H747" s="24" t="s">
        <v>1250</v>
      </c>
      <c r="I747" s="24" t="s">
        <v>1240</v>
      </c>
      <c r="K747" s="24" t="s">
        <v>1224</v>
      </c>
      <c r="L747" s="24" t="s">
        <v>1225</v>
      </c>
      <c r="M747" s="24" t="str">
        <f t="shared" si="11"/>
        <v>XWMZZ401</v>
      </c>
    </row>
    <row r="748" spans="1:13" ht="11.4" customHeight="1">
      <c r="A748" s="24" t="s">
        <v>1939</v>
      </c>
      <c r="B748" s="24" t="s">
        <v>1852</v>
      </c>
      <c r="C748" s="24">
        <v>0.38</v>
      </c>
      <c r="D748" s="24">
        <v>1265</v>
      </c>
      <c r="E748" s="24">
        <v>2520</v>
      </c>
      <c r="F748" s="30" t="s">
        <v>1620</v>
      </c>
      <c r="G748" s="24" t="s">
        <v>1296</v>
      </c>
      <c r="H748" s="24" t="s">
        <v>1278</v>
      </c>
      <c r="I748" s="24" t="s">
        <v>1297</v>
      </c>
      <c r="K748" s="24" t="s">
        <v>1224</v>
      </c>
      <c r="L748" s="24" t="s">
        <v>1225</v>
      </c>
      <c r="M748" s="24" t="str">
        <f t="shared" si="11"/>
        <v>XWMRWC08</v>
      </c>
    </row>
    <row r="749" spans="1:13" ht="11.4" customHeight="1">
      <c r="A749" s="24" t="s">
        <v>1940</v>
      </c>
      <c r="B749" s="24" t="s">
        <v>1852</v>
      </c>
      <c r="C749" s="24">
        <v>0.38</v>
      </c>
      <c r="D749" s="24">
        <v>1265</v>
      </c>
      <c r="E749" s="24">
        <v>2520</v>
      </c>
      <c r="F749" s="30" t="s">
        <v>1620</v>
      </c>
      <c r="G749" s="24" t="s">
        <v>1296</v>
      </c>
      <c r="H749" s="24" t="s">
        <v>1278</v>
      </c>
      <c r="I749" s="24" t="s">
        <v>1297</v>
      </c>
      <c r="K749" s="24" t="s">
        <v>1224</v>
      </c>
      <c r="L749" s="24" t="s">
        <v>1225</v>
      </c>
      <c r="M749" s="24" t="str">
        <f t="shared" si="11"/>
        <v>XWMRWC08</v>
      </c>
    </row>
    <row r="750" spans="1:13" ht="11.4" customHeight="1">
      <c r="A750" s="24" t="s">
        <v>1941</v>
      </c>
      <c r="B750" s="24" t="s">
        <v>1852</v>
      </c>
      <c r="C750" s="24">
        <v>0.4</v>
      </c>
      <c r="D750" s="24">
        <v>1265</v>
      </c>
      <c r="E750" s="24">
        <v>2520</v>
      </c>
      <c r="F750" s="30" t="s">
        <v>1601</v>
      </c>
      <c r="G750" s="24" t="s">
        <v>1296</v>
      </c>
      <c r="H750" s="24" t="s">
        <v>1244</v>
      </c>
      <c r="I750" s="24" t="s">
        <v>1297</v>
      </c>
      <c r="K750" s="24" t="s">
        <v>1224</v>
      </c>
      <c r="L750" s="24" t="s">
        <v>1225</v>
      </c>
      <c r="M750" s="24" t="str">
        <f t="shared" si="11"/>
        <v>XWMRW209</v>
      </c>
    </row>
    <row r="751" spans="1:13" ht="11.4" customHeight="1">
      <c r="A751" s="24" t="s">
        <v>1942</v>
      </c>
      <c r="B751" s="24" t="s">
        <v>1852</v>
      </c>
      <c r="C751" s="24">
        <v>0.4</v>
      </c>
      <c r="D751" s="24">
        <v>1265</v>
      </c>
      <c r="E751" s="24">
        <v>2520</v>
      </c>
      <c r="F751" s="30" t="s">
        <v>1601</v>
      </c>
      <c r="G751" s="24" t="s">
        <v>1296</v>
      </c>
      <c r="H751" s="24" t="s">
        <v>1244</v>
      </c>
      <c r="I751" s="24" t="s">
        <v>1297</v>
      </c>
      <c r="K751" s="24" t="s">
        <v>1224</v>
      </c>
      <c r="L751" s="24" t="s">
        <v>1225</v>
      </c>
      <c r="M751" s="24" t="str">
        <f t="shared" si="11"/>
        <v>XWMRW209</v>
      </c>
    </row>
    <row r="752" spans="1:13" ht="11.4" customHeight="1">
      <c r="A752" s="24" t="s">
        <v>1943</v>
      </c>
      <c r="B752" s="24" t="s">
        <v>1852</v>
      </c>
      <c r="C752" s="24">
        <v>0.4</v>
      </c>
      <c r="D752" s="24">
        <v>1265</v>
      </c>
      <c r="E752" s="24">
        <v>2520</v>
      </c>
      <c r="F752" s="30" t="s">
        <v>1620</v>
      </c>
      <c r="G752" s="24" t="s">
        <v>1296</v>
      </c>
      <c r="H752" s="24" t="s">
        <v>1137</v>
      </c>
      <c r="I752" s="24" t="s">
        <v>1297</v>
      </c>
      <c r="K752" s="24" t="s">
        <v>1224</v>
      </c>
      <c r="L752" s="24" t="s">
        <v>1225</v>
      </c>
      <c r="M752" s="24" t="str">
        <f t="shared" si="11"/>
        <v>XWMRWB07</v>
      </c>
    </row>
    <row r="753" spans="1:13" ht="11.4" customHeight="1">
      <c r="A753" s="24" t="s">
        <v>1944</v>
      </c>
      <c r="B753" s="24" t="s">
        <v>1852</v>
      </c>
      <c r="C753" s="24">
        <v>0.4</v>
      </c>
      <c r="D753" s="24">
        <v>1265</v>
      </c>
      <c r="E753" s="24">
        <v>2520</v>
      </c>
      <c r="F753" s="30" t="s">
        <v>1620</v>
      </c>
      <c r="G753" s="24" t="s">
        <v>1296</v>
      </c>
      <c r="H753" s="24" t="s">
        <v>1137</v>
      </c>
      <c r="I753" s="24" t="s">
        <v>1297</v>
      </c>
      <c r="K753" s="24" t="s">
        <v>1224</v>
      </c>
      <c r="L753" s="24" t="s">
        <v>1225</v>
      </c>
      <c r="M753" s="24" t="str">
        <f t="shared" si="11"/>
        <v>XWMRWB07</v>
      </c>
    </row>
    <row r="754" spans="1:13" ht="11.4" customHeight="1">
      <c r="A754" s="24" t="s">
        <v>1945</v>
      </c>
      <c r="B754" s="24" t="s">
        <v>1852</v>
      </c>
      <c r="C754" s="24">
        <v>0.4</v>
      </c>
      <c r="D754" s="24">
        <v>1265</v>
      </c>
      <c r="E754" s="24">
        <v>2520</v>
      </c>
      <c r="F754" s="30" t="s">
        <v>1240</v>
      </c>
      <c r="G754" s="24" t="s">
        <v>1296</v>
      </c>
      <c r="H754" s="24" t="s">
        <v>1946</v>
      </c>
      <c r="I754" s="24" t="s">
        <v>1297</v>
      </c>
      <c r="K754" s="24" t="s">
        <v>1224</v>
      </c>
      <c r="L754" s="24" t="s">
        <v>1225</v>
      </c>
      <c r="M754" s="24" t="str">
        <f t="shared" si="11"/>
        <v>XWMRWG01</v>
      </c>
    </row>
    <row r="755" spans="1:13" ht="11.4" customHeight="1">
      <c r="A755" s="24" t="s">
        <v>1947</v>
      </c>
      <c r="B755" s="24" t="s">
        <v>1852</v>
      </c>
      <c r="C755" s="24">
        <v>0.4</v>
      </c>
      <c r="D755" s="24">
        <v>1265</v>
      </c>
      <c r="E755" s="24">
        <v>2520</v>
      </c>
      <c r="F755" s="30" t="s">
        <v>1240</v>
      </c>
      <c r="G755" s="24" t="s">
        <v>1296</v>
      </c>
      <c r="H755" s="24" t="s">
        <v>1948</v>
      </c>
      <c r="I755" s="24" t="s">
        <v>1297</v>
      </c>
      <c r="J755" s="24" t="s">
        <v>1122</v>
      </c>
      <c r="K755" s="24" t="s">
        <v>1224</v>
      </c>
      <c r="L755" s="24" t="s">
        <v>1225</v>
      </c>
      <c r="M755" s="24" t="str">
        <f t="shared" si="11"/>
        <v>XWMRWG10</v>
      </c>
    </row>
    <row r="756" spans="1:13" ht="11.4" customHeight="1">
      <c r="A756" s="24" t="s">
        <v>1949</v>
      </c>
      <c r="B756" s="24" t="s">
        <v>1852</v>
      </c>
      <c r="C756" s="24">
        <v>0.4</v>
      </c>
      <c r="D756" s="24">
        <v>1265</v>
      </c>
      <c r="E756" s="24">
        <v>2520</v>
      </c>
      <c r="F756" s="30" t="s">
        <v>1240</v>
      </c>
      <c r="G756" s="24" t="s">
        <v>1296</v>
      </c>
      <c r="H756" s="24" t="s">
        <v>1946</v>
      </c>
      <c r="I756" s="24" t="s">
        <v>1297</v>
      </c>
      <c r="K756" s="24" t="s">
        <v>1224</v>
      </c>
      <c r="L756" s="24" t="s">
        <v>1225</v>
      </c>
      <c r="M756" s="24" t="str">
        <f t="shared" si="11"/>
        <v>XWMRWG01</v>
      </c>
    </row>
    <row r="757" spans="1:13" ht="11.4" customHeight="1">
      <c r="A757" s="24" t="s">
        <v>1950</v>
      </c>
      <c r="B757" s="24" t="s">
        <v>1852</v>
      </c>
      <c r="C757" s="24">
        <v>0.4</v>
      </c>
      <c r="D757" s="24">
        <v>1265</v>
      </c>
      <c r="E757" s="24">
        <v>2520</v>
      </c>
      <c r="F757" s="30" t="s">
        <v>1240</v>
      </c>
      <c r="G757" s="24" t="s">
        <v>1296</v>
      </c>
      <c r="H757" s="24" t="s">
        <v>1948</v>
      </c>
      <c r="I757" s="24" t="s">
        <v>1297</v>
      </c>
      <c r="J757" s="24" t="s">
        <v>1122</v>
      </c>
      <c r="K757" s="24" t="s">
        <v>1224</v>
      </c>
      <c r="L757" s="24" t="s">
        <v>1225</v>
      </c>
      <c r="M757" s="24" t="str">
        <f t="shared" si="11"/>
        <v>XWMRWG10</v>
      </c>
    </row>
    <row r="758" spans="1:13" ht="11.4" customHeight="1">
      <c r="A758" s="24" t="s">
        <v>1951</v>
      </c>
      <c r="B758" s="24" t="s">
        <v>1852</v>
      </c>
      <c r="C758" s="24">
        <v>0.5</v>
      </c>
      <c r="D758" s="24">
        <v>1265</v>
      </c>
      <c r="E758" s="24">
        <v>2520</v>
      </c>
      <c r="F758" s="30" t="s">
        <v>1221</v>
      </c>
      <c r="G758" s="24" t="s">
        <v>1222</v>
      </c>
      <c r="H758" s="24" t="s">
        <v>1109</v>
      </c>
      <c r="I758" s="24" t="s">
        <v>1223</v>
      </c>
      <c r="K758" s="24" t="s">
        <v>1224</v>
      </c>
      <c r="L758" s="24" t="s">
        <v>1225</v>
      </c>
      <c r="M758" s="24" t="str">
        <f t="shared" si="11"/>
        <v>XWMPB101</v>
      </c>
    </row>
    <row r="759" spans="1:13" ht="11.4" customHeight="1">
      <c r="A759" s="24" t="s">
        <v>515</v>
      </c>
      <c r="B759" s="24" t="s">
        <v>1852</v>
      </c>
      <c r="C759" s="24">
        <v>0.5</v>
      </c>
      <c r="D759" s="24">
        <v>1265</v>
      </c>
      <c r="E759" s="24">
        <v>2520</v>
      </c>
      <c r="F759" s="30" t="s">
        <v>1221</v>
      </c>
      <c r="G759" s="24" t="s">
        <v>1222</v>
      </c>
      <c r="H759" s="24" t="s">
        <v>1109</v>
      </c>
      <c r="I759" s="24" t="s">
        <v>1223</v>
      </c>
      <c r="K759" s="24" t="s">
        <v>1224</v>
      </c>
      <c r="L759" s="24" t="s">
        <v>1225</v>
      </c>
      <c r="M759" s="24" t="str">
        <f t="shared" si="11"/>
        <v>XWMPB101</v>
      </c>
    </row>
    <row r="760" spans="1:13" ht="11.4" customHeight="1">
      <c r="A760" s="24" t="s">
        <v>1952</v>
      </c>
      <c r="B760" s="24" t="s">
        <v>1852</v>
      </c>
      <c r="C760" s="24">
        <v>0.5</v>
      </c>
      <c r="D760" s="24">
        <v>965</v>
      </c>
      <c r="E760" s="24">
        <v>2200</v>
      </c>
      <c r="F760" s="30" t="s">
        <v>1221</v>
      </c>
      <c r="G760" s="24" t="s">
        <v>1222</v>
      </c>
      <c r="H760" s="24" t="s">
        <v>1109</v>
      </c>
      <c r="I760" s="24" t="s">
        <v>1223</v>
      </c>
      <c r="K760" s="24" t="s">
        <v>1224</v>
      </c>
      <c r="L760" s="24" t="s">
        <v>1339</v>
      </c>
      <c r="M760" s="24" t="str">
        <f t="shared" si="11"/>
        <v>XWMPB102</v>
      </c>
    </row>
    <row r="761" spans="1:13" ht="11.4" customHeight="1">
      <c r="A761" s="24" t="s">
        <v>1953</v>
      </c>
      <c r="B761" s="24" t="s">
        <v>1852</v>
      </c>
      <c r="C761" s="24">
        <v>0.5</v>
      </c>
      <c r="D761" s="24">
        <v>965</v>
      </c>
      <c r="E761" s="24">
        <v>2200</v>
      </c>
      <c r="F761" s="30" t="s">
        <v>1221</v>
      </c>
      <c r="G761" s="24" t="s">
        <v>1222</v>
      </c>
      <c r="H761" s="24" t="s">
        <v>1109</v>
      </c>
      <c r="I761" s="24" t="s">
        <v>1223</v>
      </c>
      <c r="K761" s="24" t="s">
        <v>1224</v>
      </c>
      <c r="L761" s="24" t="s">
        <v>1339</v>
      </c>
      <c r="M761" s="24" t="str">
        <f t="shared" si="11"/>
        <v>XWMPB102</v>
      </c>
    </row>
    <row r="762" spans="1:13" ht="11.4" customHeight="1">
      <c r="A762" s="24" t="s">
        <v>1954</v>
      </c>
      <c r="B762" s="24" t="s">
        <v>1852</v>
      </c>
      <c r="C762" s="24">
        <v>0.5</v>
      </c>
      <c r="D762" s="24">
        <v>1265</v>
      </c>
      <c r="E762" s="24">
        <v>2200</v>
      </c>
      <c r="F762" s="30" t="s">
        <v>1221</v>
      </c>
      <c r="G762" s="24" t="s">
        <v>1222</v>
      </c>
      <c r="H762" s="24" t="s">
        <v>1109</v>
      </c>
      <c r="I762" s="24" t="s">
        <v>1230</v>
      </c>
      <c r="K762" s="24" t="s">
        <v>1224</v>
      </c>
      <c r="L762" s="24" t="s">
        <v>1225</v>
      </c>
      <c r="M762" s="24" t="str">
        <f t="shared" si="11"/>
        <v>XWMPM102</v>
      </c>
    </row>
    <row r="763" spans="1:13" ht="11.4" customHeight="1">
      <c r="A763" s="24" t="s">
        <v>1955</v>
      </c>
      <c r="B763" s="24" t="s">
        <v>1852</v>
      </c>
      <c r="C763" s="24">
        <v>0.5</v>
      </c>
      <c r="D763" s="24">
        <v>1265</v>
      </c>
      <c r="E763" s="24">
        <v>2200</v>
      </c>
      <c r="F763" s="30" t="s">
        <v>1221</v>
      </c>
      <c r="G763" s="24" t="s">
        <v>1222</v>
      </c>
      <c r="H763" s="24" t="s">
        <v>1109</v>
      </c>
      <c r="I763" s="24" t="s">
        <v>1230</v>
      </c>
      <c r="K763" s="24" t="s">
        <v>1224</v>
      </c>
      <c r="L763" s="24" t="s">
        <v>1225</v>
      </c>
      <c r="M763" s="24" t="str">
        <f t="shared" si="11"/>
        <v>XWMPM102</v>
      </c>
    </row>
    <row r="764" spans="1:13" ht="11.4" customHeight="1">
      <c r="A764" s="24" t="s">
        <v>1956</v>
      </c>
      <c r="B764" s="24" t="s">
        <v>1852</v>
      </c>
      <c r="C764" s="24">
        <v>0.5</v>
      </c>
      <c r="D764" s="24">
        <v>1265</v>
      </c>
      <c r="E764" s="24">
        <v>2250</v>
      </c>
      <c r="F764" s="30" t="s">
        <v>1252</v>
      </c>
      <c r="G764" s="24" t="s">
        <v>1222</v>
      </c>
      <c r="H764" s="24" t="s">
        <v>1109</v>
      </c>
      <c r="I764" s="24" t="s">
        <v>1230</v>
      </c>
      <c r="K764" s="24" t="s">
        <v>1224</v>
      </c>
      <c r="L764" s="24" t="s">
        <v>1225</v>
      </c>
      <c r="M764" s="24" t="str">
        <f t="shared" si="11"/>
        <v>XWMPM105</v>
      </c>
    </row>
    <row r="765" spans="1:13" ht="11.4" customHeight="1">
      <c r="A765" s="24" t="s">
        <v>1957</v>
      </c>
      <c r="B765" s="24" t="s">
        <v>1852</v>
      </c>
      <c r="C765" s="24">
        <v>0.5</v>
      </c>
      <c r="D765" s="24">
        <v>1265</v>
      </c>
      <c r="E765" s="24">
        <v>2250</v>
      </c>
      <c r="F765" s="30" t="s">
        <v>1252</v>
      </c>
      <c r="G765" s="24" t="s">
        <v>1222</v>
      </c>
      <c r="H765" s="24" t="s">
        <v>1109</v>
      </c>
      <c r="I765" s="24" t="s">
        <v>1230</v>
      </c>
      <c r="K765" s="24" t="s">
        <v>1224</v>
      </c>
      <c r="L765" s="24" t="s">
        <v>1225</v>
      </c>
      <c r="M765" s="24" t="str">
        <f t="shared" si="11"/>
        <v>XWMPM105</v>
      </c>
    </row>
    <row r="766" spans="1:13" ht="11.4" customHeight="1">
      <c r="A766" s="24" t="s">
        <v>1958</v>
      </c>
      <c r="B766" s="24" t="s">
        <v>1852</v>
      </c>
      <c r="C766" s="24">
        <v>0.5</v>
      </c>
      <c r="D766" s="24">
        <v>1265</v>
      </c>
      <c r="E766" s="24">
        <v>2520</v>
      </c>
      <c r="F766" s="30" t="s">
        <v>1221</v>
      </c>
      <c r="G766" s="24" t="s">
        <v>1222</v>
      </c>
      <c r="H766" s="24" t="s">
        <v>1109</v>
      </c>
      <c r="I766" s="24" t="s">
        <v>1230</v>
      </c>
      <c r="K766" s="24" t="s">
        <v>1224</v>
      </c>
      <c r="L766" s="24" t="s">
        <v>1225</v>
      </c>
      <c r="M766" s="24" t="str">
        <f t="shared" si="11"/>
        <v>XWMPM101</v>
      </c>
    </row>
    <row r="767" spans="1:13" ht="11.4" customHeight="1">
      <c r="A767" s="24" t="s">
        <v>1959</v>
      </c>
      <c r="B767" s="24" t="s">
        <v>1852</v>
      </c>
      <c r="C767" s="24">
        <v>0.5</v>
      </c>
      <c r="D767" s="24">
        <v>1265</v>
      </c>
      <c r="E767" s="24">
        <v>2520</v>
      </c>
      <c r="F767" s="30" t="s">
        <v>1221</v>
      </c>
      <c r="G767" s="24" t="s">
        <v>1222</v>
      </c>
      <c r="H767" s="24" t="s">
        <v>1109</v>
      </c>
      <c r="I767" s="24" t="s">
        <v>1230</v>
      </c>
      <c r="K767" s="24" t="s">
        <v>1224</v>
      </c>
      <c r="L767" s="24" t="s">
        <v>1225</v>
      </c>
      <c r="M767" s="24" t="str">
        <f t="shared" si="11"/>
        <v>XWMPM101</v>
      </c>
    </row>
    <row r="768" spans="1:13" ht="11.4" customHeight="1">
      <c r="A768" s="24" t="s">
        <v>1960</v>
      </c>
      <c r="B768" s="24" t="s">
        <v>1852</v>
      </c>
      <c r="C768" s="24">
        <v>0.5</v>
      </c>
      <c r="D768" s="24">
        <v>1265</v>
      </c>
      <c r="E768" s="24">
        <v>3100</v>
      </c>
      <c r="F768" s="30" t="s">
        <v>1221</v>
      </c>
      <c r="G768" s="24" t="s">
        <v>1222</v>
      </c>
      <c r="H768" s="24" t="s">
        <v>1109</v>
      </c>
      <c r="I768" s="24" t="s">
        <v>1230</v>
      </c>
      <c r="K768" s="24" t="s">
        <v>1224</v>
      </c>
      <c r="L768" s="24" t="s">
        <v>1225</v>
      </c>
      <c r="M768" s="24" t="str">
        <f t="shared" si="11"/>
        <v>XWMPM103</v>
      </c>
    </row>
    <row r="769" spans="1:13" ht="11.4" customHeight="1">
      <c r="A769" s="24" t="s">
        <v>522</v>
      </c>
      <c r="B769" s="24" t="s">
        <v>1852</v>
      </c>
      <c r="C769" s="24">
        <v>0.5</v>
      </c>
      <c r="D769" s="24">
        <v>1265</v>
      </c>
      <c r="E769" s="24">
        <v>3100</v>
      </c>
      <c r="F769" s="30" t="s">
        <v>1221</v>
      </c>
      <c r="G769" s="24" t="s">
        <v>1222</v>
      </c>
      <c r="H769" s="24" t="s">
        <v>1109</v>
      </c>
      <c r="I769" s="24" t="s">
        <v>1230</v>
      </c>
      <c r="K769" s="24" t="s">
        <v>1224</v>
      </c>
      <c r="L769" s="24" t="s">
        <v>1225</v>
      </c>
      <c r="M769" s="24" t="str">
        <f t="shared" si="11"/>
        <v>XWMPM103</v>
      </c>
    </row>
    <row r="770" spans="1:13" ht="11.4" customHeight="1">
      <c r="A770" s="24" t="s">
        <v>1961</v>
      </c>
      <c r="B770" s="24" t="s">
        <v>1852</v>
      </c>
      <c r="C770" s="24">
        <v>0.5</v>
      </c>
      <c r="D770" s="24">
        <v>1265</v>
      </c>
      <c r="E770" s="24">
        <v>3300</v>
      </c>
      <c r="F770" s="30" t="s">
        <v>1221</v>
      </c>
      <c r="G770" s="24" t="s">
        <v>1222</v>
      </c>
      <c r="H770" s="24" t="s">
        <v>1109</v>
      </c>
      <c r="I770" s="24" t="s">
        <v>1230</v>
      </c>
      <c r="K770" s="24" t="s">
        <v>1224</v>
      </c>
      <c r="L770" s="24" t="s">
        <v>1225</v>
      </c>
      <c r="M770" s="24" t="str">
        <f t="shared" ref="M770:M833" si="12">RIGHT(A770,8)</f>
        <v>XWMPM104</v>
      </c>
    </row>
    <row r="771" spans="1:13" ht="11.4" customHeight="1">
      <c r="A771" s="24" t="s">
        <v>1962</v>
      </c>
      <c r="B771" s="24" t="s">
        <v>1852</v>
      </c>
      <c r="C771" s="24">
        <v>0.5</v>
      </c>
      <c r="D771" s="24">
        <v>1265</v>
      </c>
      <c r="E771" s="24">
        <v>3300</v>
      </c>
      <c r="F771" s="30" t="s">
        <v>1221</v>
      </c>
      <c r="G771" s="24" t="s">
        <v>1222</v>
      </c>
      <c r="H771" s="24" t="s">
        <v>1109</v>
      </c>
      <c r="I771" s="24" t="s">
        <v>1230</v>
      </c>
      <c r="K771" s="24" t="s">
        <v>1224</v>
      </c>
      <c r="L771" s="24" t="s">
        <v>1225</v>
      </c>
      <c r="M771" s="24" t="str">
        <f t="shared" si="12"/>
        <v>XWMPM104</v>
      </c>
    </row>
    <row r="772" spans="1:13" ht="11.4" customHeight="1">
      <c r="A772" s="24" t="s">
        <v>1963</v>
      </c>
      <c r="B772" s="24" t="s">
        <v>1852</v>
      </c>
      <c r="C772" s="24">
        <v>0.5</v>
      </c>
      <c r="D772" s="24">
        <v>1265</v>
      </c>
      <c r="E772" s="24">
        <v>2520</v>
      </c>
      <c r="F772" s="30" t="s">
        <v>1221</v>
      </c>
      <c r="G772" s="24" t="s">
        <v>1222</v>
      </c>
      <c r="H772" s="24" t="s">
        <v>1109</v>
      </c>
      <c r="I772" s="24" t="s">
        <v>1232</v>
      </c>
      <c r="K772" s="24" t="s">
        <v>1224</v>
      </c>
      <c r="L772" s="24" t="s">
        <v>1225</v>
      </c>
      <c r="M772" s="24" t="str">
        <f t="shared" si="12"/>
        <v>XWMPS101</v>
      </c>
    </row>
    <row r="773" spans="1:13" ht="11.4" customHeight="1">
      <c r="A773" s="24" t="s">
        <v>1964</v>
      </c>
      <c r="B773" s="24" t="s">
        <v>1852</v>
      </c>
      <c r="C773" s="24">
        <v>0.5</v>
      </c>
      <c r="D773" s="24">
        <v>1265</v>
      </c>
      <c r="E773" s="24">
        <v>2520</v>
      </c>
      <c r="F773" s="30" t="s">
        <v>1221</v>
      </c>
      <c r="G773" s="24" t="s">
        <v>1222</v>
      </c>
      <c r="H773" s="24" t="s">
        <v>1109</v>
      </c>
      <c r="I773" s="24" t="s">
        <v>1232</v>
      </c>
      <c r="K773" s="24" t="s">
        <v>1224</v>
      </c>
      <c r="L773" s="24" t="s">
        <v>1225</v>
      </c>
      <c r="M773" s="24" t="str">
        <f t="shared" si="12"/>
        <v>XWMPS101</v>
      </c>
    </row>
    <row r="774" spans="1:13" ht="11.4" customHeight="1">
      <c r="A774" s="24" t="s">
        <v>1965</v>
      </c>
      <c r="B774" s="24" t="s">
        <v>1852</v>
      </c>
      <c r="C774" s="24">
        <v>0.5</v>
      </c>
      <c r="D774" s="24">
        <v>1265</v>
      </c>
      <c r="E774" s="24">
        <v>2520</v>
      </c>
      <c r="F774" s="30" t="s">
        <v>1221</v>
      </c>
      <c r="G774" s="24" t="s">
        <v>1222</v>
      </c>
      <c r="H774" s="24" t="s">
        <v>1244</v>
      </c>
      <c r="I774" s="24" t="s">
        <v>1223</v>
      </c>
      <c r="K774" s="24" t="s">
        <v>1224</v>
      </c>
      <c r="L774" s="24" t="s">
        <v>1225</v>
      </c>
      <c r="M774" s="24" t="str">
        <f t="shared" si="12"/>
        <v>XWMPB201</v>
      </c>
    </row>
    <row r="775" spans="1:13" ht="11.4" customHeight="1">
      <c r="A775" s="24" t="s">
        <v>1966</v>
      </c>
      <c r="B775" s="24" t="s">
        <v>1852</v>
      </c>
      <c r="C775" s="24">
        <v>0.5</v>
      </c>
      <c r="D775" s="24">
        <v>1265</v>
      </c>
      <c r="E775" s="24">
        <v>2520</v>
      </c>
      <c r="F775" s="30" t="s">
        <v>1221</v>
      </c>
      <c r="G775" s="24" t="s">
        <v>1222</v>
      </c>
      <c r="H775" s="24" t="s">
        <v>1244</v>
      </c>
      <c r="I775" s="24" t="s">
        <v>1223</v>
      </c>
      <c r="K775" s="24" t="s">
        <v>1224</v>
      </c>
      <c r="L775" s="24" t="s">
        <v>1225</v>
      </c>
      <c r="M775" s="24" t="str">
        <f t="shared" si="12"/>
        <v>XWMPB201</v>
      </c>
    </row>
    <row r="776" spans="1:13" ht="11.4" customHeight="1">
      <c r="A776" s="24" t="s">
        <v>1967</v>
      </c>
      <c r="B776" s="24" t="s">
        <v>1852</v>
      </c>
      <c r="C776" s="24">
        <v>0.5</v>
      </c>
      <c r="D776" s="24">
        <v>1265</v>
      </c>
      <c r="E776" s="24">
        <v>2250</v>
      </c>
      <c r="F776" s="30" t="s">
        <v>1252</v>
      </c>
      <c r="G776" s="24" t="s">
        <v>1222</v>
      </c>
      <c r="H776" s="24" t="s">
        <v>1244</v>
      </c>
      <c r="I776" s="24" t="s">
        <v>1230</v>
      </c>
      <c r="K776" s="24" t="s">
        <v>1224</v>
      </c>
      <c r="L776" s="24" t="s">
        <v>1225</v>
      </c>
      <c r="M776" s="24" t="str">
        <f t="shared" si="12"/>
        <v>XWMPM202</v>
      </c>
    </row>
    <row r="777" spans="1:13" ht="11.4" customHeight="1">
      <c r="A777" s="24" t="s">
        <v>1968</v>
      </c>
      <c r="B777" s="24" t="s">
        <v>1852</v>
      </c>
      <c r="C777" s="24">
        <v>0.5</v>
      </c>
      <c r="D777" s="24">
        <v>1265</v>
      </c>
      <c r="E777" s="24">
        <v>2250</v>
      </c>
      <c r="F777" s="30" t="s">
        <v>1252</v>
      </c>
      <c r="G777" s="24" t="s">
        <v>1222</v>
      </c>
      <c r="H777" s="24" t="s">
        <v>1244</v>
      </c>
      <c r="I777" s="24" t="s">
        <v>1230</v>
      </c>
      <c r="K777" s="24" t="s">
        <v>1224</v>
      </c>
      <c r="L777" s="24" t="s">
        <v>1225</v>
      </c>
      <c r="M777" s="24" t="str">
        <f t="shared" si="12"/>
        <v>XWMPM202</v>
      </c>
    </row>
    <row r="778" spans="1:13" ht="11.4" customHeight="1">
      <c r="A778" s="24" t="s">
        <v>1969</v>
      </c>
      <c r="B778" s="24" t="s">
        <v>1852</v>
      </c>
      <c r="C778" s="24">
        <v>0.5</v>
      </c>
      <c r="D778" s="24">
        <v>1265</v>
      </c>
      <c r="E778" s="24">
        <v>2520</v>
      </c>
      <c r="F778" s="30" t="s">
        <v>1221</v>
      </c>
      <c r="G778" s="24" t="s">
        <v>1222</v>
      </c>
      <c r="H778" s="24" t="s">
        <v>1244</v>
      </c>
      <c r="I778" s="24" t="s">
        <v>1230</v>
      </c>
      <c r="K778" s="24" t="s">
        <v>1224</v>
      </c>
      <c r="L778" s="24" t="s">
        <v>1225</v>
      </c>
      <c r="M778" s="24" t="str">
        <f t="shared" si="12"/>
        <v>XWMPM201</v>
      </c>
    </row>
    <row r="779" spans="1:13" ht="11.4" customHeight="1">
      <c r="A779" s="24" t="s">
        <v>481</v>
      </c>
      <c r="B779" s="24" t="s">
        <v>1852</v>
      </c>
      <c r="C779" s="24">
        <v>0.5</v>
      </c>
      <c r="D779" s="24">
        <v>1265</v>
      </c>
      <c r="E779" s="24">
        <v>2520</v>
      </c>
      <c r="F779" s="30" t="s">
        <v>1221</v>
      </c>
      <c r="G779" s="24" t="s">
        <v>1222</v>
      </c>
      <c r="H779" s="24" t="s">
        <v>1244</v>
      </c>
      <c r="I779" s="24" t="s">
        <v>1230</v>
      </c>
      <c r="K779" s="24" t="s">
        <v>1224</v>
      </c>
      <c r="L779" s="24" t="s">
        <v>1225</v>
      </c>
      <c r="M779" s="24" t="str">
        <f t="shared" si="12"/>
        <v>XWMPM201</v>
      </c>
    </row>
    <row r="780" spans="1:13" ht="11.4" customHeight="1">
      <c r="A780" s="24" t="s">
        <v>1970</v>
      </c>
      <c r="B780" s="24" t="s">
        <v>1852</v>
      </c>
      <c r="C780" s="24">
        <v>0.5</v>
      </c>
      <c r="D780" s="24">
        <v>1265</v>
      </c>
      <c r="E780" s="24">
        <v>2520</v>
      </c>
      <c r="F780" s="30" t="s">
        <v>1221</v>
      </c>
      <c r="G780" s="24" t="s">
        <v>1222</v>
      </c>
      <c r="H780" s="24" t="s">
        <v>1244</v>
      </c>
      <c r="I780" s="24" t="s">
        <v>1232</v>
      </c>
      <c r="K780" s="24" t="s">
        <v>1224</v>
      </c>
      <c r="L780" s="24" t="s">
        <v>1225</v>
      </c>
      <c r="M780" s="24" t="str">
        <f t="shared" si="12"/>
        <v>XWMPS201</v>
      </c>
    </row>
    <row r="781" spans="1:13" ht="11.4" customHeight="1">
      <c r="A781" s="24" t="s">
        <v>1971</v>
      </c>
      <c r="B781" s="24" t="s">
        <v>1852</v>
      </c>
      <c r="C781" s="24">
        <v>0.5</v>
      </c>
      <c r="D781" s="24">
        <v>1265</v>
      </c>
      <c r="E781" s="24">
        <v>2520</v>
      </c>
      <c r="F781" s="30" t="s">
        <v>1221</v>
      </c>
      <c r="G781" s="24" t="s">
        <v>1222</v>
      </c>
      <c r="H781" s="24" t="s">
        <v>1244</v>
      </c>
      <c r="I781" s="24" t="s">
        <v>1232</v>
      </c>
      <c r="K781" s="24" t="s">
        <v>1224</v>
      </c>
      <c r="L781" s="24" t="s">
        <v>1225</v>
      </c>
      <c r="M781" s="24" t="str">
        <f t="shared" si="12"/>
        <v>XWMPS201</v>
      </c>
    </row>
    <row r="782" spans="1:13" ht="11.4" customHeight="1">
      <c r="A782" s="24" t="s">
        <v>1972</v>
      </c>
      <c r="B782" s="24" t="s">
        <v>1852</v>
      </c>
      <c r="C782" s="24">
        <v>0.5</v>
      </c>
      <c r="D782" s="24">
        <v>1265</v>
      </c>
      <c r="E782" s="24">
        <v>2520</v>
      </c>
      <c r="F782" s="30" t="s">
        <v>1252</v>
      </c>
      <c r="G782" s="24" t="s">
        <v>1222</v>
      </c>
      <c r="H782" s="24" t="s">
        <v>49</v>
      </c>
      <c r="I782" s="24" t="s">
        <v>1223</v>
      </c>
      <c r="K782" s="24" t="s">
        <v>1224</v>
      </c>
      <c r="L782" s="24" t="s">
        <v>1225</v>
      </c>
      <c r="M782" s="24" t="str">
        <f t="shared" si="12"/>
        <v>XWMPBA11</v>
      </c>
    </row>
    <row r="783" spans="1:13" ht="11.4" customHeight="1">
      <c r="A783" s="24" t="s">
        <v>514</v>
      </c>
      <c r="B783" s="24" t="s">
        <v>1852</v>
      </c>
      <c r="C783" s="24">
        <v>0.5</v>
      </c>
      <c r="D783" s="24">
        <v>1265</v>
      </c>
      <c r="E783" s="24">
        <v>2520</v>
      </c>
      <c r="F783" s="30" t="s">
        <v>1252</v>
      </c>
      <c r="G783" s="24" t="s">
        <v>1222</v>
      </c>
      <c r="H783" s="24" t="s">
        <v>49</v>
      </c>
      <c r="I783" s="24" t="s">
        <v>1223</v>
      </c>
      <c r="K783" s="24" t="s">
        <v>1224</v>
      </c>
      <c r="L783" s="24" t="s">
        <v>1225</v>
      </c>
      <c r="M783" s="24" t="str">
        <f t="shared" si="12"/>
        <v>XWMPBA11</v>
      </c>
    </row>
    <row r="784" spans="1:13" ht="11.4" customHeight="1">
      <c r="A784" s="24" t="s">
        <v>1973</v>
      </c>
      <c r="B784" s="24" t="s">
        <v>1852</v>
      </c>
      <c r="C784" s="24">
        <v>0.5</v>
      </c>
      <c r="D784" s="24">
        <v>1265</v>
      </c>
      <c r="E784" s="24">
        <v>3100</v>
      </c>
      <c r="F784" s="30" t="s">
        <v>1252</v>
      </c>
      <c r="G784" s="24" t="s">
        <v>1222</v>
      </c>
      <c r="H784" s="24" t="s">
        <v>49</v>
      </c>
      <c r="I784" s="24" t="s">
        <v>1223</v>
      </c>
      <c r="K784" s="24" t="s">
        <v>1224</v>
      </c>
      <c r="L784" s="24" t="s">
        <v>1225</v>
      </c>
      <c r="M784" s="24" t="str">
        <f t="shared" si="12"/>
        <v>XWMPBA04</v>
      </c>
    </row>
    <row r="785" spans="1:13" ht="11.4" customHeight="1">
      <c r="A785" s="24" t="s">
        <v>521</v>
      </c>
      <c r="B785" s="24" t="s">
        <v>1852</v>
      </c>
      <c r="C785" s="24">
        <v>0.5</v>
      </c>
      <c r="D785" s="24">
        <v>1265</v>
      </c>
      <c r="E785" s="24">
        <v>3100</v>
      </c>
      <c r="F785" s="30" t="s">
        <v>1252</v>
      </c>
      <c r="G785" s="24" t="s">
        <v>1222</v>
      </c>
      <c r="H785" s="24" t="s">
        <v>49</v>
      </c>
      <c r="I785" s="24" t="s">
        <v>1223</v>
      </c>
      <c r="K785" s="24" t="s">
        <v>1224</v>
      </c>
      <c r="L785" s="24" t="s">
        <v>1225</v>
      </c>
      <c r="M785" s="24" t="str">
        <f t="shared" si="12"/>
        <v>XWMPBA04</v>
      </c>
    </row>
    <row r="786" spans="1:13" ht="11.4" customHeight="1">
      <c r="A786" s="24" t="s">
        <v>1974</v>
      </c>
      <c r="B786" s="24" t="s">
        <v>1852</v>
      </c>
      <c r="C786" s="24">
        <v>0.5</v>
      </c>
      <c r="D786" s="24">
        <v>1265</v>
      </c>
      <c r="E786" s="24">
        <v>3300</v>
      </c>
      <c r="F786" s="30" t="s">
        <v>1252</v>
      </c>
      <c r="G786" s="24" t="s">
        <v>1222</v>
      </c>
      <c r="H786" s="24" t="s">
        <v>49</v>
      </c>
      <c r="I786" s="24" t="s">
        <v>1223</v>
      </c>
      <c r="K786" s="24" t="s">
        <v>1224</v>
      </c>
      <c r="L786" s="24" t="s">
        <v>1225</v>
      </c>
      <c r="M786" s="24" t="str">
        <f t="shared" si="12"/>
        <v>XWMPBA14</v>
      </c>
    </row>
    <row r="787" spans="1:13" ht="11.4" customHeight="1">
      <c r="A787" s="24" t="s">
        <v>1975</v>
      </c>
      <c r="B787" s="24" t="s">
        <v>1852</v>
      </c>
      <c r="C787" s="24">
        <v>0.5</v>
      </c>
      <c r="D787" s="24">
        <v>1265</v>
      </c>
      <c r="E787" s="24">
        <v>3300</v>
      </c>
      <c r="F787" s="30" t="s">
        <v>1252</v>
      </c>
      <c r="G787" s="24" t="s">
        <v>1222</v>
      </c>
      <c r="H787" s="24" t="s">
        <v>49</v>
      </c>
      <c r="I787" s="24" t="s">
        <v>1223</v>
      </c>
      <c r="K787" s="24" t="s">
        <v>1224</v>
      </c>
      <c r="L787" s="24" t="s">
        <v>1225</v>
      </c>
      <c r="M787" s="24" t="str">
        <f t="shared" si="12"/>
        <v>XWMPBA14</v>
      </c>
    </row>
    <row r="788" spans="1:13" ht="11.4" customHeight="1">
      <c r="A788" s="24" t="s">
        <v>1976</v>
      </c>
      <c r="B788" s="24" t="s">
        <v>1852</v>
      </c>
      <c r="C788" s="24">
        <v>0.5</v>
      </c>
      <c r="D788" s="24">
        <v>1265</v>
      </c>
      <c r="E788" s="24">
        <v>2250</v>
      </c>
      <c r="F788" s="30" t="s">
        <v>1252</v>
      </c>
      <c r="G788" s="24" t="s">
        <v>1222</v>
      </c>
      <c r="H788" s="24" t="s">
        <v>1137</v>
      </c>
      <c r="I788" s="24" t="s">
        <v>1223</v>
      </c>
      <c r="K788" s="24" t="s">
        <v>1224</v>
      </c>
      <c r="L788" s="24" t="s">
        <v>1225</v>
      </c>
      <c r="M788" s="24" t="str">
        <f t="shared" si="12"/>
        <v>XWMPBB04</v>
      </c>
    </row>
    <row r="789" spans="1:13" ht="11.4" customHeight="1">
      <c r="A789" s="24" t="s">
        <v>1977</v>
      </c>
      <c r="B789" s="24" t="s">
        <v>1852</v>
      </c>
      <c r="C789" s="24">
        <v>0.5</v>
      </c>
      <c r="D789" s="24">
        <v>1265</v>
      </c>
      <c r="E789" s="24">
        <v>2250</v>
      </c>
      <c r="F789" s="30" t="s">
        <v>1252</v>
      </c>
      <c r="G789" s="24" t="s">
        <v>1222</v>
      </c>
      <c r="H789" s="24" t="s">
        <v>1137</v>
      </c>
      <c r="I789" s="24" t="s">
        <v>1223</v>
      </c>
      <c r="K789" s="24" t="s">
        <v>1224</v>
      </c>
      <c r="L789" s="24" t="s">
        <v>1225</v>
      </c>
      <c r="M789" s="24" t="str">
        <f t="shared" si="12"/>
        <v>XWMPBB04</v>
      </c>
    </row>
    <row r="790" spans="1:13" ht="11.4" customHeight="1">
      <c r="A790" s="24" t="s">
        <v>1978</v>
      </c>
      <c r="B790" s="24" t="s">
        <v>1852</v>
      </c>
      <c r="C790" s="24">
        <v>0.5</v>
      </c>
      <c r="D790" s="24">
        <v>1265</v>
      </c>
      <c r="E790" s="24">
        <v>2520</v>
      </c>
      <c r="F790" s="30" t="s">
        <v>1252</v>
      </c>
      <c r="G790" s="24" t="s">
        <v>1222</v>
      </c>
      <c r="H790" s="24" t="s">
        <v>1137</v>
      </c>
      <c r="I790" s="24" t="s">
        <v>1223</v>
      </c>
      <c r="K790" s="24" t="s">
        <v>1224</v>
      </c>
      <c r="L790" s="24" t="s">
        <v>1225</v>
      </c>
      <c r="M790" s="24" t="str">
        <f t="shared" si="12"/>
        <v>XWMPBB02</v>
      </c>
    </row>
    <row r="791" spans="1:13" ht="11.4" customHeight="1">
      <c r="A791" s="24" t="s">
        <v>479</v>
      </c>
      <c r="B791" s="24" t="s">
        <v>1852</v>
      </c>
      <c r="C791" s="24">
        <v>0.5</v>
      </c>
      <c r="D791" s="24">
        <v>1265</v>
      </c>
      <c r="E791" s="24">
        <v>2520</v>
      </c>
      <c r="F791" s="30" t="s">
        <v>1252</v>
      </c>
      <c r="G791" s="24" t="s">
        <v>1222</v>
      </c>
      <c r="H791" s="24" t="s">
        <v>1137</v>
      </c>
      <c r="I791" s="24" t="s">
        <v>1223</v>
      </c>
      <c r="K791" s="24" t="s">
        <v>1224</v>
      </c>
      <c r="L791" s="24" t="s">
        <v>1225</v>
      </c>
      <c r="M791" s="24" t="str">
        <f t="shared" si="12"/>
        <v>XWMPBB02</v>
      </c>
    </row>
    <row r="792" spans="1:13" ht="11.4" customHeight="1">
      <c r="A792" s="24" t="s">
        <v>1979</v>
      </c>
      <c r="B792" s="24" t="s">
        <v>1852</v>
      </c>
      <c r="C792" s="24">
        <v>0.5</v>
      </c>
      <c r="D792" s="24">
        <v>965</v>
      </c>
      <c r="E792" s="24">
        <v>2200</v>
      </c>
      <c r="F792" s="30" t="s">
        <v>1252</v>
      </c>
      <c r="G792" s="24" t="s">
        <v>1222</v>
      </c>
      <c r="H792" s="24" t="s">
        <v>1137</v>
      </c>
      <c r="I792" s="24" t="s">
        <v>1223</v>
      </c>
      <c r="K792" s="24" t="s">
        <v>1224</v>
      </c>
      <c r="L792" s="24" t="s">
        <v>1339</v>
      </c>
      <c r="M792" s="24" t="str">
        <f t="shared" si="12"/>
        <v>XWMPBB03</v>
      </c>
    </row>
    <row r="793" spans="1:13" ht="11.4" customHeight="1">
      <c r="A793" s="24" t="s">
        <v>1980</v>
      </c>
      <c r="B793" s="24" t="s">
        <v>1852</v>
      </c>
      <c r="C793" s="24">
        <v>0.5</v>
      </c>
      <c r="D793" s="24">
        <v>965</v>
      </c>
      <c r="E793" s="24">
        <v>2200</v>
      </c>
      <c r="F793" s="30" t="s">
        <v>1252</v>
      </c>
      <c r="G793" s="24" t="s">
        <v>1222</v>
      </c>
      <c r="H793" s="24" t="s">
        <v>1137</v>
      </c>
      <c r="I793" s="24" t="s">
        <v>1223</v>
      </c>
      <c r="K793" s="24" t="s">
        <v>1224</v>
      </c>
      <c r="L793" s="24" t="s">
        <v>1339</v>
      </c>
      <c r="M793" s="24" t="str">
        <f t="shared" si="12"/>
        <v>XWMPBB03</v>
      </c>
    </row>
    <row r="794" spans="1:13" ht="11.4" customHeight="1">
      <c r="A794" s="24" t="s">
        <v>1981</v>
      </c>
      <c r="B794" s="24" t="s">
        <v>1852</v>
      </c>
      <c r="C794" s="24">
        <v>0.5</v>
      </c>
      <c r="D794" s="24">
        <v>1265</v>
      </c>
      <c r="E794" s="24">
        <v>1900</v>
      </c>
      <c r="F794" s="30" t="s">
        <v>1252</v>
      </c>
      <c r="G794" s="24" t="s">
        <v>1222</v>
      </c>
      <c r="H794" s="24" t="s">
        <v>1137</v>
      </c>
      <c r="I794" s="24" t="s">
        <v>1230</v>
      </c>
      <c r="K794" s="24" t="s">
        <v>1224</v>
      </c>
      <c r="L794" s="24" t="s">
        <v>1225</v>
      </c>
      <c r="M794" s="24" t="str">
        <f t="shared" si="12"/>
        <v>XWMPMB01</v>
      </c>
    </row>
    <row r="795" spans="1:13" ht="11.4" customHeight="1">
      <c r="A795" s="24" t="s">
        <v>1982</v>
      </c>
      <c r="B795" s="24" t="s">
        <v>1852</v>
      </c>
      <c r="C795" s="24">
        <v>0.5</v>
      </c>
      <c r="D795" s="24">
        <v>1265</v>
      </c>
      <c r="E795" s="24">
        <v>1900</v>
      </c>
      <c r="F795" s="30" t="s">
        <v>1252</v>
      </c>
      <c r="G795" s="24" t="s">
        <v>1222</v>
      </c>
      <c r="H795" s="24" t="s">
        <v>1137</v>
      </c>
      <c r="I795" s="24" t="s">
        <v>1230</v>
      </c>
      <c r="K795" s="24" t="s">
        <v>1224</v>
      </c>
      <c r="L795" s="24" t="s">
        <v>1225</v>
      </c>
      <c r="M795" s="24" t="str">
        <f t="shared" si="12"/>
        <v>XWMPMB01</v>
      </c>
    </row>
    <row r="796" spans="1:13" ht="11.4" customHeight="1">
      <c r="A796" s="24" t="s">
        <v>1983</v>
      </c>
      <c r="B796" s="24" t="s">
        <v>1852</v>
      </c>
      <c r="C796" s="24">
        <v>0.5</v>
      </c>
      <c r="D796" s="24">
        <v>1265</v>
      </c>
      <c r="E796" s="24">
        <v>2520</v>
      </c>
      <c r="F796" s="30" t="s">
        <v>1252</v>
      </c>
      <c r="G796" s="24" t="s">
        <v>1222</v>
      </c>
      <c r="H796" s="24" t="s">
        <v>1137</v>
      </c>
      <c r="I796" s="24" t="s">
        <v>1232</v>
      </c>
      <c r="K796" s="24" t="s">
        <v>1224</v>
      </c>
      <c r="L796" s="24" t="s">
        <v>1225</v>
      </c>
      <c r="M796" s="24" t="str">
        <f t="shared" si="12"/>
        <v>XWMPSB01</v>
      </c>
    </row>
    <row r="797" spans="1:13" ht="11.4" customHeight="1">
      <c r="A797" s="24" t="s">
        <v>1984</v>
      </c>
      <c r="B797" s="24" t="s">
        <v>1852</v>
      </c>
      <c r="C797" s="24">
        <v>0.5</v>
      </c>
      <c r="D797" s="24">
        <v>1265</v>
      </c>
      <c r="E797" s="24">
        <v>2520</v>
      </c>
      <c r="F797" s="30" t="s">
        <v>1252</v>
      </c>
      <c r="G797" s="24" t="s">
        <v>1222</v>
      </c>
      <c r="H797" s="24" t="s">
        <v>1137</v>
      </c>
      <c r="I797" s="24" t="s">
        <v>1232</v>
      </c>
      <c r="K797" s="24" t="s">
        <v>1224</v>
      </c>
      <c r="L797" s="24" t="s">
        <v>1225</v>
      </c>
      <c r="M797" s="24" t="str">
        <f t="shared" si="12"/>
        <v>XWMPSB01</v>
      </c>
    </row>
    <row r="798" spans="1:13" ht="11.4" customHeight="1">
      <c r="A798" s="24" t="s">
        <v>1985</v>
      </c>
      <c r="B798" s="24" t="s">
        <v>1852</v>
      </c>
      <c r="C798" s="24">
        <v>0.5</v>
      </c>
      <c r="D798" s="24">
        <v>1265</v>
      </c>
      <c r="E798" s="24">
        <v>2520</v>
      </c>
      <c r="F798" s="30" t="s">
        <v>1252</v>
      </c>
      <c r="G798" s="24" t="s">
        <v>1222</v>
      </c>
      <c r="H798" s="24" t="s">
        <v>1278</v>
      </c>
      <c r="I798" s="24" t="s">
        <v>1223</v>
      </c>
      <c r="K798" s="24" t="s">
        <v>1224</v>
      </c>
      <c r="L798" s="24" t="s">
        <v>1225</v>
      </c>
      <c r="M798" s="24" t="str">
        <f t="shared" si="12"/>
        <v>XWMPBC01</v>
      </c>
    </row>
    <row r="799" spans="1:13" ht="11.4" customHeight="1">
      <c r="A799" s="24" t="s">
        <v>1986</v>
      </c>
      <c r="B799" s="24" t="s">
        <v>1852</v>
      </c>
      <c r="C799" s="24">
        <v>0.5</v>
      </c>
      <c r="D799" s="24">
        <v>1265</v>
      </c>
      <c r="E799" s="24">
        <v>2520</v>
      </c>
      <c r="F799" s="30" t="s">
        <v>1252</v>
      </c>
      <c r="G799" s="24" t="s">
        <v>1222</v>
      </c>
      <c r="H799" s="24" t="s">
        <v>1278</v>
      </c>
      <c r="I799" s="24" t="s">
        <v>1223</v>
      </c>
      <c r="K799" s="24" t="s">
        <v>1224</v>
      </c>
      <c r="L799" s="24" t="s">
        <v>1225</v>
      </c>
      <c r="M799" s="24" t="str">
        <f t="shared" si="12"/>
        <v>XWMPBC01</v>
      </c>
    </row>
    <row r="800" spans="1:13" ht="11.4" customHeight="1">
      <c r="A800" s="24" t="s">
        <v>1987</v>
      </c>
      <c r="B800" s="24" t="s">
        <v>1852</v>
      </c>
      <c r="C800" s="24">
        <v>0.5</v>
      </c>
      <c r="D800" s="24">
        <v>965</v>
      </c>
      <c r="E800" s="24">
        <v>2200</v>
      </c>
      <c r="F800" s="30" t="s">
        <v>1252</v>
      </c>
      <c r="G800" s="24" t="s">
        <v>1222</v>
      </c>
      <c r="H800" s="24" t="s">
        <v>1380</v>
      </c>
      <c r="I800" s="24" t="s">
        <v>1223</v>
      </c>
      <c r="K800" s="24" t="s">
        <v>1224</v>
      </c>
      <c r="L800" s="24" t="s">
        <v>1339</v>
      </c>
      <c r="M800" s="24" t="str">
        <f t="shared" si="12"/>
        <v>XWMPBA07</v>
      </c>
    </row>
    <row r="801" spans="1:13" ht="11.4" customHeight="1">
      <c r="A801" s="24" t="s">
        <v>1024</v>
      </c>
      <c r="B801" s="24" t="s">
        <v>1852</v>
      </c>
      <c r="C801" s="24">
        <v>0.5</v>
      </c>
      <c r="D801" s="24">
        <v>965</v>
      </c>
      <c r="E801" s="24">
        <v>2200</v>
      </c>
      <c r="F801" s="30" t="s">
        <v>1252</v>
      </c>
      <c r="G801" s="24" t="s">
        <v>1222</v>
      </c>
      <c r="H801" s="24" t="s">
        <v>1380</v>
      </c>
      <c r="I801" s="24" t="s">
        <v>1223</v>
      </c>
      <c r="K801" s="24" t="s">
        <v>1224</v>
      </c>
      <c r="L801" s="24" t="s">
        <v>1339</v>
      </c>
      <c r="M801" s="24" t="str">
        <f t="shared" si="12"/>
        <v>XWMPBA07</v>
      </c>
    </row>
    <row r="802" spans="1:13" ht="11.4" customHeight="1">
      <c r="A802" s="24" t="s">
        <v>1988</v>
      </c>
      <c r="B802" s="24" t="s">
        <v>1852</v>
      </c>
      <c r="C802" s="24">
        <v>0.5</v>
      </c>
      <c r="D802" s="24">
        <v>965</v>
      </c>
      <c r="E802" s="24">
        <v>2250</v>
      </c>
      <c r="F802" s="30" t="s">
        <v>1252</v>
      </c>
      <c r="G802" s="24" t="s">
        <v>1222</v>
      </c>
      <c r="H802" s="24" t="s">
        <v>1380</v>
      </c>
      <c r="I802" s="24" t="s">
        <v>1223</v>
      </c>
      <c r="K802" s="24" t="s">
        <v>1224</v>
      </c>
      <c r="L802" s="24" t="s">
        <v>1339</v>
      </c>
      <c r="M802" s="24" t="str">
        <f t="shared" si="12"/>
        <v>XWMPBA01</v>
      </c>
    </row>
    <row r="803" spans="1:13" ht="11.4" customHeight="1">
      <c r="A803" s="24" t="s">
        <v>1989</v>
      </c>
      <c r="B803" s="24" t="s">
        <v>1852</v>
      </c>
      <c r="C803" s="24">
        <v>0.5</v>
      </c>
      <c r="D803" s="24">
        <v>1265</v>
      </c>
      <c r="E803" s="24">
        <v>2250</v>
      </c>
      <c r="F803" s="30" t="s">
        <v>1252</v>
      </c>
      <c r="G803" s="24" t="s">
        <v>1222</v>
      </c>
      <c r="H803" s="24" t="s">
        <v>1380</v>
      </c>
      <c r="I803" s="24" t="s">
        <v>1223</v>
      </c>
      <c r="K803" s="24" t="s">
        <v>1224</v>
      </c>
      <c r="L803" s="24" t="s">
        <v>1339</v>
      </c>
      <c r="M803" s="24" t="str">
        <f t="shared" si="12"/>
        <v>XWMPBA12</v>
      </c>
    </row>
    <row r="804" spans="1:13" ht="11.4" customHeight="1">
      <c r="A804" s="24" t="s">
        <v>1027</v>
      </c>
      <c r="B804" s="24" t="s">
        <v>1852</v>
      </c>
      <c r="C804" s="24">
        <v>0.5</v>
      </c>
      <c r="D804" s="24">
        <v>965</v>
      </c>
      <c r="E804" s="24">
        <v>2250</v>
      </c>
      <c r="F804" s="30" t="s">
        <v>1252</v>
      </c>
      <c r="G804" s="24" t="s">
        <v>1222</v>
      </c>
      <c r="H804" s="24" t="s">
        <v>1380</v>
      </c>
      <c r="I804" s="24" t="s">
        <v>1223</v>
      </c>
      <c r="K804" s="24" t="s">
        <v>1224</v>
      </c>
      <c r="L804" s="24" t="s">
        <v>1339</v>
      </c>
      <c r="M804" s="24" t="str">
        <f t="shared" si="12"/>
        <v>XWMPBA01</v>
      </c>
    </row>
    <row r="805" spans="1:13" ht="11.4" customHeight="1">
      <c r="A805" s="24" t="s">
        <v>1042</v>
      </c>
      <c r="B805" s="24" t="s">
        <v>1852</v>
      </c>
      <c r="C805" s="24">
        <v>0.5</v>
      </c>
      <c r="D805" s="24">
        <v>1265</v>
      </c>
      <c r="E805" s="24">
        <v>2250</v>
      </c>
      <c r="F805" s="30" t="s">
        <v>1252</v>
      </c>
      <c r="G805" s="24" t="s">
        <v>1222</v>
      </c>
      <c r="H805" s="24" t="s">
        <v>1380</v>
      </c>
      <c r="I805" s="24" t="s">
        <v>1223</v>
      </c>
      <c r="K805" s="24" t="s">
        <v>1224</v>
      </c>
      <c r="L805" s="24" t="s">
        <v>1339</v>
      </c>
      <c r="M805" s="24" t="str">
        <f t="shared" si="12"/>
        <v>XWMPBA12</v>
      </c>
    </row>
    <row r="806" spans="1:13" ht="11.4" customHeight="1">
      <c r="A806" s="24" t="s">
        <v>1990</v>
      </c>
      <c r="B806" s="24" t="s">
        <v>1852</v>
      </c>
      <c r="C806" s="24">
        <v>0.5</v>
      </c>
      <c r="D806" s="24">
        <v>1265</v>
      </c>
      <c r="E806" s="24">
        <v>2520</v>
      </c>
      <c r="F806" s="30" t="s">
        <v>1252</v>
      </c>
      <c r="G806" s="24" t="s">
        <v>1222</v>
      </c>
      <c r="H806" s="24" t="s">
        <v>1380</v>
      </c>
      <c r="I806" s="24" t="s">
        <v>1223</v>
      </c>
      <c r="K806" s="24" t="s">
        <v>1224</v>
      </c>
      <c r="L806" s="24" t="s">
        <v>1339</v>
      </c>
      <c r="M806" s="24" t="str">
        <f t="shared" si="12"/>
        <v>XWMPBA02</v>
      </c>
    </row>
    <row r="807" spans="1:13" ht="11.4" customHeight="1">
      <c r="A807" s="24" t="s">
        <v>1991</v>
      </c>
      <c r="B807" s="24" t="s">
        <v>1852</v>
      </c>
      <c r="C807" s="24">
        <v>0.5</v>
      </c>
      <c r="D807" s="24">
        <v>965</v>
      </c>
      <c r="E807" s="24">
        <v>2520</v>
      </c>
      <c r="F807" s="30" t="s">
        <v>1252</v>
      </c>
      <c r="G807" s="24" t="s">
        <v>1222</v>
      </c>
      <c r="H807" s="24" t="s">
        <v>1380</v>
      </c>
      <c r="I807" s="24" t="s">
        <v>1223</v>
      </c>
      <c r="K807" s="24" t="s">
        <v>1224</v>
      </c>
      <c r="L807" s="24" t="s">
        <v>1339</v>
      </c>
      <c r="M807" s="24" t="str">
        <f t="shared" si="12"/>
        <v>XWMPBA03</v>
      </c>
    </row>
    <row r="808" spans="1:13" ht="11.4" customHeight="1">
      <c r="A808" s="24" t="s">
        <v>1045</v>
      </c>
      <c r="B808" s="24" t="s">
        <v>1852</v>
      </c>
      <c r="C808" s="24">
        <v>0.5</v>
      </c>
      <c r="D808" s="24">
        <v>1265</v>
      </c>
      <c r="E808" s="24">
        <v>2520</v>
      </c>
      <c r="F808" s="30" t="s">
        <v>1252</v>
      </c>
      <c r="G808" s="24" t="s">
        <v>1222</v>
      </c>
      <c r="H808" s="24" t="s">
        <v>1380</v>
      </c>
      <c r="I808" s="24" t="s">
        <v>1223</v>
      </c>
      <c r="K808" s="24" t="s">
        <v>1224</v>
      </c>
      <c r="L808" s="24" t="s">
        <v>1339</v>
      </c>
      <c r="M808" s="24" t="str">
        <f t="shared" si="12"/>
        <v>XWMPBA02</v>
      </c>
    </row>
    <row r="809" spans="1:13" ht="11.4" customHeight="1">
      <c r="A809" s="24" t="s">
        <v>1033</v>
      </c>
      <c r="B809" s="24" t="s">
        <v>1852</v>
      </c>
      <c r="C809" s="24">
        <v>0.5</v>
      </c>
      <c r="D809" s="24">
        <v>965</v>
      </c>
      <c r="E809" s="24">
        <v>2520</v>
      </c>
      <c r="F809" s="30" t="s">
        <v>1252</v>
      </c>
      <c r="G809" s="24" t="s">
        <v>1222</v>
      </c>
      <c r="H809" s="24" t="s">
        <v>1380</v>
      </c>
      <c r="I809" s="24" t="s">
        <v>1223</v>
      </c>
      <c r="K809" s="24" t="s">
        <v>1224</v>
      </c>
      <c r="L809" s="24" t="s">
        <v>1339</v>
      </c>
      <c r="M809" s="24" t="str">
        <f t="shared" si="12"/>
        <v>XWMPBA03</v>
      </c>
    </row>
    <row r="810" spans="1:13" ht="11.4" customHeight="1">
      <c r="A810" s="24" t="s">
        <v>1992</v>
      </c>
      <c r="B810" s="24" t="s">
        <v>1852</v>
      </c>
      <c r="C810" s="24">
        <v>0.5</v>
      </c>
      <c r="D810" s="24">
        <v>1265</v>
      </c>
      <c r="E810" s="24">
        <v>2800</v>
      </c>
      <c r="F810" s="30" t="s">
        <v>1252</v>
      </c>
      <c r="G810" s="24" t="s">
        <v>1222</v>
      </c>
      <c r="H810" s="24" t="s">
        <v>1380</v>
      </c>
      <c r="I810" s="24" t="s">
        <v>1223</v>
      </c>
      <c r="K810" s="24" t="s">
        <v>1224</v>
      </c>
      <c r="L810" s="24" t="s">
        <v>1339</v>
      </c>
      <c r="M810" s="24" t="str">
        <f t="shared" si="12"/>
        <v>XWMPBA05</v>
      </c>
    </row>
    <row r="811" spans="1:13" ht="11.4" customHeight="1">
      <c r="A811" s="24" t="s">
        <v>1993</v>
      </c>
      <c r="B811" s="24" t="s">
        <v>1852</v>
      </c>
      <c r="C811" s="24">
        <v>0.5</v>
      </c>
      <c r="D811" s="24">
        <v>965</v>
      </c>
      <c r="E811" s="24">
        <v>2800</v>
      </c>
      <c r="F811" s="30" t="s">
        <v>1252</v>
      </c>
      <c r="G811" s="24" t="s">
        <v>1222</v>
      </c>
      <c r="H811" s="24" t="s">
        <v>1380</v>
      </c>
      <c r="I811" s="24" t="s">
        <v>1223</v>
      </c>
      <c r="K811" s="24" t="s">
        <v>1224</v>
      </c>
      <c r="L811" s="24" t="s">
        <v>1339</v>
      </c>
      <c r="M811" s="24" t="str">
        <f t="shared" si="12"/>
        <v>XWMPBA06</v>
      </c>
    </row>
    <row r="812" spans="1:13" ht="11.4" customHeight="1">
      <c r="A812" s="24" t="s">
        <v>1994</v>
      </c>
      <c r="B812" s="24" t="s">
        <v>1852</v>
      </c>
      <c r="C812" s="24">
        <v>0.5</v>
      </c>
      <c r="D812" s="24">
        <v>930</v>
      </c>
      <c r="E812" s="32">
        <v>2800</v>
      </c>
      <c r="F812" s="30" t="s">
        <v>1252</v>
      </c>
      <c r="G812" s="24" t="s">
        <v>1222</v>
      </c>
      <c r="H812" s="24" t="s">
        <v>1385</v>
      </c>
      <c r="I812" s="24" t="s">
        <v>1223</v>
      </c>
      <c r="K812" s="24" t="s">
        <v>1224</v>
      </c>
      <c r="L812" s="24" t="s">
        <v>1339</v>
      </c>
      <c r="M812" s="24" t="str">
        <f t="shared" si="12"/>
        <v>XWMPBA51</v>
      </c>
    </row>
    <row r="813" spans="1:13" ht="11.4" customHeight="1">
      <c r="A813" s="24" t="s">
        <v>1048</v>
      </c>
      <c r="B813" s="24" t="s">
        <v>1852</v>
      </c>
      <c r="C813" s="24">
        <v>0.5</v>
      </c>
      <c r="D813" s="24">
        <v>1265</v>
      </c>
      <c r="E813" s="24">
        <v>2800</v>
      </c>
      <c r="F813" s="30" t="s">
        <v>1252</v>
      </c>
      <c r="G813" s="24" t="s">
        <v>1222</v>
      </c>
      <c r="H813" s="24" t="s">
        <v>1380</v>
      </c>
      <c r="I813" s="24" t="s">
        <v>1223</v>
      </c>
      <c r="K813" s="24" t="s">
        <v>1224</v>
      </c>
      <c r="L813" s="24" t="s">
        <v>1339</v>
      </c>
      <c r="M813" s="24" t="str">
        <f t="shared" si="12"/>
        <v>XWMPBA05</v>
      </c>
    </row>
    <row r="814" spans="1:13" ht="11.4" customHeight="1">
      <c r="A814" s="24" t="s">
        <v>1039</v>
      </c>
      <c r="B814" s="24" t="s">
        <v>1852</v>
      </c>
      <c r="C814" s="24">
        <v>0.5</v>
      </c>
      <c r="D814" s="24">
        <v>965</v>
      </c>
      <c r="E814" s="24">
        <v>2800</v>
      </c>
      <c r="F814" s="30" t="s">
        <v>1252</v>
      </c>
      <c r="G814" s="24" t="s">
        <v>1222</v>
      </c>
      <c r="H814" s="24" t="s">
        <v>1380</v>
      </c>
      <c r="I814" s="24" t="s">
        <v>1223</v>
      </c>
      <c r="K814" s="24" t="s">
        <v>1224</v>
      </c>
      <c r="L814" s="24" t="s">
        <v>1339</v>
      </c>
      <c r="M814" s="24" t="str">
        <f t="shared" si="12"/>
        <v>XWMPBA06</v>
      </c>
    </row>
    <row r="815" spans="1:13" ht="11.4" customHeight="1">
      <c r="A815" s="24" t="s">
        <v>1995</v>
      </c>
      <c r="B815" s="24" t="s">
        <v>1852</v>
      </c>
      <c r="C815" s="24">
        <v>0.5</v>
      </c>
      <c r="D815" s="24">
        <v>930</v>
      </c>
      <c r="E815" s="24">
        <v>2800</v>
      </c>
      <c r="F815" s="30" t="s">
        <v>1252</v>
      </c>
      <c r="G815" s="24" t="s">
        <v>1222</v>
      </c>
      <c r="H815" s="24" t="s">
        <v>1385</v>
      </c>
      <c r="I815" s="24" t="s">
        <v>1223</v>
      </c>
      <c r="K815" s="24" t="s">
        <v>1224</v>
      </c>
      <c r="L815" s="24" t="s">
        <v>1339</v>
      </c>
      <c r="M815" s="24" t="str">
        <f t="shared" si="12"/>
        <v>XWMPBA51</v>
      </c>
    </row>
    <row r="816" spans="1:13" ht="11.4" customHeight="1">
      <c r="A816" s="24" t="s">
        <v>1996</v>
      </c>
      <c r="B816" s="24" t="s">
        <v>1852</v>
      </c>
      <c r="C816" s="24">
        <v>0.5</v>
      </c>
      <c r="D816" s="24">
        <v>965</v>
      </c>
      <c r="E816" s="24">
        <v>2250</v>
      </c>
      <c r="F816" s="30" t="s">
        <v>1252</v>
      </c>
      <c r="G816" s="24" t="s">
        <v>1222</v>
      </c>
      <c r="H816" s="24" t="s">
        <v>1380</v>
      </c>
      <c r="I816" s="24" t="s">
        <v>1806</v>
      </c>
      <c r="K816" s="24" t="s">
        <v>1224</v>
      </c>
      <c r="L816" s="24" t="s">
        <v>1339</v>
      </c>
      <c r="M816" s="24" t="str">
        <f t="shared" si="12"/>
        <v>XWMPBA09</v>
      </c>
    </row>
    <row r="817" spans="1:13" ht="11.4" customHeight="1">
      <c r="A817" s="24" t="s">
        <v>1997</v>
      </c>
      <c r="B817" s="24" t="s">
        <v>1852</v>
      </c>
      <c r="C817" s="24">
        <v>0.5</v>
      </c>
      <c r="D817" s="24">
        <v>965</v>
      </c>
      <c r="E817" s="24">
        <v>2250</v>
      </c>
      <c r="F817" s="30" t="s">
        <v>1252</v>
      </c>
      <c r="G817" s="24" t="s">
        <v>1222</v>
      </c>
      <c r="H817" s="24" t="s">
        <v>1380</v>
      </c>
      <c r="I817" s="24" t="s">
        <v>1806</v>
      </c>
      <c r="K817" s="24" t="s">
        <v>1224</v>
      </c>
      <c r="L817" s="24" t="s">
        <v>1339</v>
      </c>
      <c r="M817" s="24" t="str">
        <f t="shared" si="12"/>
        <v>XWMPBA09</v>
      </c>
    </row>
    <row r="818" spans="1:13" ht="11.4" customHeight="1">
      <c r="A818" s="24" t="s">
        <v>1998</v>
      </c>
      <c r="B818" s="24" t="s">
        <v>1852</v>
      </c>
      <c r="C818" s="24">
        <v>0.5</v>
      </c>
      <c r="D818" s="24">
        <v>965</v>
      </c>
      <c r="E818" s="24">
        <v>2520</v>
      </c>
      <c r="F818" s="30" t="s">
        <v>1252</v>
      </c>
      <c r="G818" s="24" t="s">
        <v>1222</v>
      </c>
      <c r="H818" s="24" t="s">
        <v>1380</v>
      </c>
      <c r="I818" s="24" t="s">
        <v>1806</v>
      </c>
      <c r="K818" s="24" t="s">
        <v>1224</v>
      </c>
      <c r="L818" s="24" t="s">
        <v>1339</v>
      </c>
      <c r="M818" s="24" t="str">
        <f t="shared" si="12"/>
        <v>XWMPBA10</v>
      </c>
    </row>
    <row r="819" spans="1:13" ht="11.4" customHeight="1">
      <c r="A819" s="24" t="s">
        <v>1036</v>
      </c>
      <c r="B819" s="24" t="s">
        <v>1852</v>
      </c>
      <c r="C819" s="24">
        <v>0.5</v>
      </c>
      <c r="D819" s="24">
        <v>965</v>
      </c>
      <c r="E819" s="24">
        <v>2520</v>
      </c>
      <c r="F819" s="30" t="s">
        <v>1252</v>
      </c>
      <c r="G819" s="24" t="s">
        <v>1222</v>
      </c>
      <c r="H819" s="24" t="s">
        <v>1380</v>
      </c>
      <c r="I819" s="24" t="s">
        <v>1806</v>
      </c>
      <c r="K819" s="24" t="s">
        <v>1224</v>
      </c>
      <c r="L819" s="24" t="s">
        <v>1339</v>
      </c>
      <c r="M819" s="24" t="str">
        <f t="shared" si="12"/>
        <v>XWMPBA10</v>
      </c>
    </row>
    <row r="820" spans="1:13" ht="11.4" customHeight="1">
      <c r="A820" s="24" t="s">
        <v>1999</v>
      </c>
      <c r="B820" s="24" t="s">
        <v>1852</v>
      </c>
      <c r="C820" s="24">
        <v>0.5</v>
      </c>
      <c r="D820" s="24">
        <v>965</v>
      </c>
      <c r="E820" s="24">
        <v>2250</v>
      </c>
      <c r="F820" s="30" t="s">
        <v>1252</v>
      </c>
      <c r="G820" s="24" t="s">
        <v>1222</v>
      </c>
      <c r="H820" s="24" t="s">
        <v>1380</v>
      </c>
      <c r="I820" s="24" t="s">
        <v>2000</v>
      </c>
      <c r="K820" s="24" t="s">
        <v>1224</v>
      </c>
      <c r="L820" s="24" t="s">
        <v>1339</v>
      </c>
      <c r="M820" s="24" t="str">
        <f t="shared" si="12"/>
        <v>XWMPBA13</v>
      </c>
    </row>
    <row r="821" spans="1:13" ht="11.4" customHeight="1">
      <c r="A821" s="24" t="s">
        <v>1030</v>
      </c>
      <c r="B821" s="24" t="s">
        <v>1852</v>
      </c>
      <c r="C821" s="24">
        <v>0.5</v>
      </c>
      <c r="D821" s="24">
        <v>965</v>
      </c>
      <c r="E821" s="24">
        <v>2250</v>
      </c>
      <c r="F821" s="30" t="s">
        <v>1252</v>
      </c>
      <c r="G821" s="24" t="s">
        <v>1222</v>
      </c>
      <c r="H821" s="24" t="s">
        <v>1380</v>
      </c>
      <c r="I821" s="24" t="s">
        <v>2000</v>
      </c>
      <c r="K821" s="24" t="s">
        <v>1224</v>
      </c>
      <c r="L821" s="24" t="s">
        <v>1339</v>
      </c>
      <c r="M821" s="24" t="str">
        <f t="shared" si="12"/>
        <v>XWMPBA13</v>
      </c>
    </row>
    <row r="822" spans="1:13" ht="11.4" customHeight="1">
      <c r="A822" s="24" t="s">
        <v>2001</v>
      </c>
      <c r="B822" s="24" t="s">
        <v>1852</v>
      </c>
      <c r="C822" s="24">
        <v>0.5</v>
      </c>
      <c r="D822" s="24">
        <v>965</v>
      </c>
      <c r="E822" s="24">
        <v>2520</v>
      </c>
      <c r="F822" s="30" t="s">
        <v>1252</v>
      </c>
      <c r="G822" s="24" t="s">
        <v>1222</v>
      </c>
      <c r="H822" s="24" t="s">
        <v>1523</v>
      </c>
      <c r="I822" s="24" t="s">
        <v>1223</v>
      </c>
      <c r="K822" s="24" t="s">
        <v>1224</v>
      </c>
      <c r="L822" s="24" t="s">
        <v>1339</v>
      </c>
      <c r="M822" s="24" t="str">
        <f t="shared" si="12"/>
        <v>XWMPBA08</v>
      </c>
    </row>
    <row r="823" spans="1:13" ht="11.4" customHeight="1">
      <c r="A823" s="24" t="s">
        <v>2002</v>
      </c>
      <c r="B823" s="24" t="s">
        <v>1852</v>
      </c>
      <c r="C823" s="24">
        <v>0.5</v>
      </c>
      <c r="D823" s="24">
        <v>965</v>
      </c>
      <c r="E823" s="24">
        <v>2520</v>
      </c>
      <c r="F823" s="30" t="s">
        <v>1252</v>
      </c>
      <c r="G823" s="24" t="s">
        <v>1222</v>
      </c>
      <c r="H823" s="24" t="s">
        <v>1523</v>
      </c>
      <c r="I823" s="24" t="s">
        <v>1223</v>
      </c>
      <c r="K823" s="24" t="s">
        <v>1224</v>
      </c>
      <c r="L823" s="24" t="s">
        <v>1339</v>
      </c>
      <c r="M823" s="24" t="str">
        <f t="shared" si="12"/>
        <v>XWMPBA08</v>
      </c>
    </row>
    <row r="824" spans="1:13" ht="11.4" customHeight="1">
      <c r="A824" s="24" t="s">
        <v>2003</v>
      </c>
      <c r="B824" s="24" t="s">
        <v>1852</v>
      </c>
      <c r="C824" s="24">
        <v>0.5</v>
      </c>
      <c r="D824" s="24">
        <v>965</v>
      </c>
      <c r="E824" s="24">
        <v>2250</v>
      </c>
      <c r="F824" s="30" t="s">
        <v>1252</v>
      </c>
      <c r="G824" s="24" t="s">
        <v>1222</v>
      </c>
      <c r="H824" s="24" t="s">
        <v>1813</v>
      </c>
      <c r="I824" s="24" t="s">
        <v>1223</v>
      </c>
      <c r="K824" s="24" t="s">
        <v>1224</v>
      </c>
      <c r="L824" s="24" t="s">
        <v>1339</v>
      </c>
      <c r="M824" s="24" t="str">
        <f t="shared" si="12"/>
        <v>XWMPBP01</v>
      </c>
    </row>
    <row r="825" spans="1:13" ht="11.4" customHeight="1">
      <c r="A825" s="24" t="s">
        <v>2004</v>
      </c>
      <c r="B825" s="24" t="s">
        <v>1852</v>
      </c>
      <c r="C825" s="24">
        <v>0.5</v>
      </c>
      <c r="D825" s="24">
        <v>965</v>
      </c>
      <c r="E825" s="24">
        <v>2250</v>
      </c>
      <c r="F825" s="30" t="s">
        <v>1252</v>
      </c>
      <c r="G825" s="24" t="s">
        <v>1222</v>
      </c>
      <c r="H825" s="24" t="s">
        <v>1813</v>
      </c>
      <c r="I825" s="24" t="s">
        <v>1223</v>
      </c>
      <c r="K825" s="24" t="s">
        <v>1224</v>
      </c>
      <c r="L825" s="24" t="s">
        <v>1339</v>
      </c>
      <c r="M825" s="24" t="str">
        <f t="shared" si="12"/>
        <v>XWMPBP01</v>
      </c>
    </row>
    <row r="826" spans="1:13" ht="11.4" customHeight="1">
      <c r="A826" s="24" t="s">
        <v>2005</v>
      </c>
      <c r="B826" s="24" t="s">
        <v>1852</v>
      </c>
      <c r="C826" s="24">
        <v>0.5</v>
      </c>
      <c r="D826" s="24">
        <v>965</v>
      </c>
      <c r="E826" s="24">
        <v>2520</v>
      </c>
      <c r="F826" s="30" t="s">
        <v>1252</v>
      </c>
      <c r="G826" s="24" t="s">
        <v>1342</v>
      </c>
      <c r="H826" s="24" t="s">
        <v>1380</v>
      </c>
      <c r="I826" s="24" t="s">
        <v>1223</v>
      </c>
      <c r="K826" s="24" t="s">
        <v>1224</v>
      </c>
      <c r="L826" s="24" t="s">
        <v>1339</v>
      </c>
      <c r="M826" s="24" t="str">
        <f t="shared" si="12"/>
        <v>XWMQBA02</v>
      </c>
    </row>
    <row r="827" spans="1:13" ht="11.4" customHeight="1">
      <c r="A827" s="24" t="s">
        <v>1051</v>
      </c>
      <c r="B827" s="24" t="s">
        <v>1852</v>
      </c>
      <c r="C827" s="24">
        <v>0.5</v>
      </c>
      <c r="D827" s="24">
        <v>965</v>
      </c>
      <c r="E827" s="24">
        <v>2520</v>
      </c>
      <c r="F827" s="30" t="s">
        <v>1252</v>
      </c>
      <c r="G827" s="24" t="s">
        <v>1342</v>
      </c>
      <c r="H827" s="24" t="s">
        <v>1380</v>
      </c>
      <c r="I827" s="24" t="s">
        <v>1223</v>
      </c>
      <c r="K827" s="24" t="s">
        <v>1224</v>
      </c>
      <c r="L827" s="24" t="s">
        <v>1339</v>
      </c>
      <c r="M827" s="24" t="str">
        <f t="shared" si="12"/>
        <v>XWMQBA02</v>
      </c>
    </row>
    <row r="828" spans="1:13" ht="11.4" customHeight="1">
      <c r="A828" s="24" t="s">
        <v>2006</v>
      </c>
      <c r="B828" s="24" t="s">
        <v>1852</v>
      </c>
      <c r="C828" s="24">
        <v>0.5</v>
      </c>
      <c r="D828" s="24">
        <v>965</v>
      </c>
      <c r="E828" s="24">
        <v>2800</v>
      </c>
      <c r="F828" s="30" t="s">
        <v>1252</v>
      </c>
      <c r="G828" s="24" t="s">
        <v>1342</v>
      </c>
      <c r="H828" s="24" t="s">
        <v>1380</v>
      </c>
      <c r="I828" s="24" t="s">
        <v>1223</v>
      </c>
      <c r="K828" s="24" t="s">
        <v>1224</v>
      </c>
      <c r="L828" s="24" t="s">
        <v>1339</v>
      </c>
      <c r="M828" s="24" t="str">
        <f t="shared" si="12"/>
        <v>XWMQBA01</v>
      </c>
    </row>
    <row r="829" spans="1:13" ht="11.4" customHeight="1">
      <c r="A829" s="24" t="s">
        <v>1054</v>
      </c>
      <c r="B829" s="24" t="s">
        <v>1852</v>
      </c>
      <c r="C829" s="24">
        <v>0.5</v>
      </c>
      <c r="D829" s="24">
        <v>965</v>
      </c>
      <c r="E829" s="24">
        <v>2800</v>
      </c>
      <c r="F829" s="30" t="s">
        <v>1252</v>
      </c>
      <c r="G829" s="24" t="s">
        <v>1342</v>
      </c>
      <c r="H829" s="24" t="s">
        <v>1380</v>
      </c>
      <c r="I829" s="24" t="s">
        <v>1223</v>
      </c>
      <c r="K829" s="24" t="s">
        <v>1224</v>
      </c>
      <c r="L829" s="24" t="s">
        <v>1339</v>
      </c>
      <c r="M829" s="24" t="str">
        <f t="shared" si="12"/>
        <v>XWMQBA01</v>
      </c>
    </row>
    <row r="830" spans="1:13" ht="11.4" customHeight="1">
      <c r="A830" s="24" t="s">
        <v>2007</v>
      </c>
      <c r="B830" s="24" t="s">
        <v>1852</v>
      </c>
      <c r="C830" s="24">
        <v>0.5</v>
      </c>
      <c r="D830" s="24">
        <v>965</v>
      </c>
      <c r="E830" s="24" t="s">
        <v>2008</v>
      </c>
      <c r="F830" s="30" t="s">
        <v>1252</v>
      </c>
      <c r="G830" s="24" t="s">
        <v>1342</v>
      </c>
      <c r="H830" s="24" t="s">
        <v>1380</v>
      </c>
      <c r="I830" s="24" t="s">
        <v>1223</v>
      </c>
      <c r="K830" s="24" t="s">
        <v>1224</v>
      </c>
      <c r="L830" s="24" t="s">
        <v>1339</v>
      </c>
      <c r="M830" s="24" t="str">
        <f t="shared" si="12"/>
        <v>XWMQBA03</v>
      </c>
    </row>
    <row r="831" spans="1:13" ht="11.4" customHeight="1">
      <c r="A831" s="24" t="s">
        <v>2009</v>
      </c>
      <c r="B831" s="24" t="s">
        <v>1852</v>
      </c>
      <c r="C831" s="24">
        <v>0.5</v>
      </c>
      <c r="D831" s="24">
        <v>965</v>
      </c>
      <c r="E831" s="24" t="s">
        <v>2008</v>
      </c>
      <c r="F831" s="30" t="s">
        <v>1252</v>
      </c>
      <c r="G831" s="24" t="s">
        <v>1342</v>
      </c>
      <c r="H831" s="24" t="s">
        <v>1380</v>
      </c>
      <c r="I831" s="24" t="s">
        <v>1223</v>
      </c>
      <c r="K831" s="24" t="s">
        <v>1224</v>
      </c>
      <c r="L831" s="24" t="s">
        <v>1339</v>
      </c>
      <c r="M831" s="24" t="str">
        <f t="shared" si="12"/>
        <v>XWMQBA03</v>
      </c>
    </row>
    <row r="832" spans="1:13" ht="11.4" customHeight="1">
      <c r="A832" s="24" t="s">
        <v>2010</v>
      </c>
      <c r="B832" s="24" t="s">
        <v>1852</v>
      </c>
      <c r="C832" s="24">
        <v>0.5</v>
      </c>
      <c r="D832" s="24">
        <v>1265</v>
      </c>
      <c r="E832" s="24">
        <v>2520</v>
      </c>
      <c r="F832" s="30" t="s">
        <v>1221</v>
      </c>
      <c r="G832" s="24" t="s">
        <v>1296</v>
      </c>
      <c r="H832" s="24" t="s">
        <v>1109</v>
      </c>
      <c r="I832" s="24" t="s">
        <v>1223</v>
      </c>
      <c r="K832" s="24" t="s">
        <v>1224</v>
      </c>
      <c r="L832" s="24" t="s">
        <v>1225</v>
      </c>
      <c r="M832" s="24" t="str">
        <f t="shared" si="12"/>
        <v>XWMRB101</v>
      </c>
    </row>
    <row r="833" spans="1:13" ht="11.4" customHeight="1">
      <c r="A833" s="24" t="s">
        <v>2011</v>
      </c>
      <c r="B833" s="24" t="s">
        <v>1852</v>
      </c>
      <c r="C833" s="24">
        <v>0.5</v>
      </c>
      <c r="D833" s="24">
        <v>1265</v>
      </c>
      <c r="E833" s="24">
        <v>2520</v>
      </c>
      <c r="F833" s="30" t="s">
        <v>1221</v>
      </c>
      <c r="G833" s="24" t="s">
        <v>1296</v>
      </c>
      <c r="H833" s="24" t="s">
        <v>1109</v>
      </c>
      <c r="I833" s="24" t="s">
        <v>1223</v>
      </c>
      <c r="K833" s="24" t="s">
        <v>1224</v>
      </c>
      <c r="L833" s="24" t="s">
        <v>1225</v>
      </c>
      <c r="M833" s="24" t="str">
        <f t="shared" si="12"/>
        <v>XWMRB101</v>
      </c>
    </row>
    <row r="834" spans="1:13" ht="11.4" customHeight="1">
      <c r="A834" s="24" t="s">
        <v>2012</v>
      </c>
      <c r="B834" s="24" t="s">
        <v>1852</v>
      </c>
      <c r="C834" s="24">
        <v>0.5</v>
      </c>
      <c r="D834" s="24">
        <v>1265</v>
      </c>
      <c r="E834" s="24">
        <v>1900</v>
      </c>
      <c r="F834" s="30" t="s">
        <v>1221</v>
      </c>
      <c r="G834" s="24" t="s">
        <v>1296</v>
      </c>
      <c r="H834" s="24" t="s">
        <v>1109</v>
      </c>
      <c r="I834" s="24" t="s">
        <v>1230</v>
      </c>
      <c r="K834" s="24" t="s">
        <v>1224</v>
      </c>
      <c r="L834" s="24" t="s">
        <v>1225</v>
      </c>
      <c r="M834" s="24" t="str">
        <f t="shared" ref="M834:M897" si="13">RIGHT(A834,8)</f>
        <v>XWMRM101</v>
      </c>
    </row>
    <row r="835" spans="1:13" ht="11.4" customHeight="1">
      <c r="A835" s="24" t="s">
        <v>2013</v>
      </c>
      <c r="B835" s="24" t="s">
        <v>1852</v>
      </c>
      <c r="C835" s="24">
        <v>0.5</v>
      </c>
      <c r="D835" s="24">
        <v>1265</v>
      </c>
      <c r="E835" s="24">
        <v>1900</v>
      </c>
      <c r="F835" s="30" t="s">
        <v>1221</v>
      </c>
      <c r="G835" s="24" t="s">
        <v>1296</v>
      </c>
      <c r="H835" s="24" t="s">
        <v>1109</v>
      </c>
      <c r="I835" s="24" t="s">
        <v>1230</v>
      </c>
      <c r="K835" s="24" t="s">
        <v>1224</v>
      </c>
      <c r="L835" s="24" t="s">
        <v>1225</v>
      </c>
      <c r="M835" s="24" t="str">
        <f t="shared" si="13"/>
        <v>XWMRM101</v>
      </c>
    </row>
    <row r="836" spans="1:13" ht="11.4" customHeight="1">
      <c r="A836" s="24" t="s">
        <v>2014</v>
      </c>
      <c r="B836" s="24" t="s">
        <v>1852</v>
      </c>
      <c r="C836" s="24">
        <v>0.5</v>
      </c>
      <c r="D836" s="24">
        <v>1265</v>
      </c>
      <c r="E836" s="24">
        <v>2200</v>
      </c>
      <c r="F836" s="30" t="s">
        <v>1221</v>
      </c>
      <c r="G836" s="24" t="s">
        <v>1296</v>
      </c>
      <c r="H836" s="24" t="s">
        <v>1109</v>
      </c>
      <c r="I836" s="24" t="s">
        <v>1230</v>
      </c>
      <c r="K836" s="24" t="s">
        <v>1224</v>
      </c>
      <c r="L836" s="24" t="s">
        <v>1225</v>
      </c>
      <c r="M836" s="24" t="str">
        <f t="shared" si="13"/>
        <v>XWMRM109</v>
      </c>
    </row>
    <row r="837" spans="1:13" ht="11.4" customHeight="1">
      <c r="A837" s="24" t="s">
        <v>2015</v>
      </c>
      <c r="B837" s="24" t="s">
        <v>1852</v>
      </c>
      <c r="C837" s="24">
        <v>0.5</v>
      </c>
      <c r="D837" s="24">
        <v>1265</v>
      </c>
      <c r="E837" s="24">
        <v>2200</v>
      </c>
      <c r="F837" s="30" t="s">
        <v>1221</v>
      </c>
      <c r="G837" s="24" t="s">
        <v>1296</v>
      </c>
      <c r="H837" s="24" t="s">
        <v>1109</v>
      </c>
      <c r="I837" s="24" t="s">
        <v>1230</v>
      </c>
      <c r="K837" s="24" t="s">
        <v>1224</v>
      </c>
      <c r="L837" s="24" t="s">
        <v>1225</v>
      </c>
      <c r="M837" s="24" t="str">
        <f t="shared" si="13"/>
        <v>XWMRM109</v>
      </c>
    </row>
    <row r="838" spans="1:13" ht="11.4" customHeight="1">
      <c r="A838" s="24" t="s">
        <v>2016</v>
      </c>
      <c r="B838" s="24" t="s">
        <v>1852</v>
      </c>
      <c r="C838" s="24">
        <v>0.5</v>
      </c>
      <c r="D838" s="24">
        <v>1265</v>
      </c>
      <c r="E838" s="24">
        <v>2520</v>
      </c>
      <c r="F838" s="30" t="s">
        <v>1221</v>
      </c>
      <c r="G838" s="24" t="s">
        <v>1296</v>
      </c>
      <c r="H838" s="24" t="s">
        <v>1109</v>
      </c>
      <c r="I838" s="24" t="s">
        <v>1230</v>
      </c>
      <c r="K838" s="24" t="s">
        <v>1224</v>
      </c>
      <c r="L838" s="24" t="s">
        <v>1225</v>
      </c>
      <c r="M838" s="24" t="str">
        <f t="shared" si="13"/>
        <v>XWMRM102</v>
      </c>
    </row>
    <row r="839" spans="1:13" ht="11.4" customHeight="1">
      <c r="A839" s="24" t="s">
        <v>2017</v>
      </c>
      <c r="B839" s="24" t="s">
        <v>1852</v>
      </c>
      <c r="C839" s="24">
        <v>0.5</v>
      </c>
      <c r="D839" s="24">
        <v>1265</v>
      </c>
      <c r="E839" s="24">
        <v>2520</v>
      </c>
      <c r="F839" s="30" t="s">
        <v>1221</v>
      </c>
      <c r="G839" s="24" t="s">
        <v>1296</v>
      </c>
      <c r="H839" s="24" t="s">
        <v>1109</v>
      </c>
      <c r="I839" s="24" t="s">
        <v>1230</v>
      </c>
      <c r="K839" s="24" t="s">
        <v>1224</v>
      </c>
      <c r="L839" s="24" t="s">
        <v>1225</v>
      </c>
      <c r="M839" s="24" t="str">
        <f t="shared" si="13"/>
        <v>XWMRM102</v>
      </c>
    </row>
    <row r="840" spans="1:13" ht="11.4" customHeight="1">
      <c r="A840" s="24" t="s">
        <v>2018</v>
      </c>
      <c r="B840" s="24" t="s">
        <v>1852</v>
      </c>
      <c r="C840" s="24">
        <v>0.5</v>
      </c>
      <c r="D840" s="24">
        <v>1265</v>
      </c>
      <c r="E840" s="24">
        <v>3100</v>
      </c>
      <c r="F840" s="30" t="s">
        <v>1221</v>
      </c>
      <c r="G840" s="24" t="s">
        <v>1296</v>
      </c>
      <c r="H840" s="24" t="s">
        <v>1109</v>
      </c>
      <c r="I840" s="24" t="s">
        <v>1230</v>
      </c>
      <c r="K840" s="24" t="s">
        <v>1224</v>
      </c>
      <c r="L840" s="24" t="s">
        <v>1225</v>
      </c>
      <c r="M840" s="24" t="str">
        <f t="shared" si="13"/>
        <v>XWMRM103</v>
      </c>
    </row>
    <row r="841" spans="1:13" ht="11.4" customHeight="1">
      <c r="A841" s="24" t="s">
        <v>2019</v>
      </c>
      <c r="B841" s="24" t="s">
        <v>1852</v>
      </c>
      <c r="C841" s="24">
        <v>0.5</v>
      </c>
      <c r="D841" s="24">
        <v>1265</v>
      </c>
      <c r="E841" s="24">
        <v>3100</v>
      </c>
      <c r="F841" s="30" t="s">
        <v>1221</v>
      </c>
      <c r="G841" s="24" t="s">
        <v>1296</v>
      </c>
      <c r="H841" s="24" t="s">
        <v>1109</v>
      </c>
      <c r="I841" s="24" t="s">
        <v>1230</v>
      </c>
      <c r="K841" s="24" t="s">
        <v>1224</v>
      </c>
      <c r="L841" s="24" t="s">
        <v>1225</v>
      </c>
      <c r="M841" s="24" t="str">
        <f t="shared" si="13"/>
        <v>XWMRM103</v>
      </c>
    </row>
    <row r="842" spans="1:13" ht="11.4" customHeight="1">
      <c r="A842" s="24" t="s">
        <v>2020</v>
      </c>
      <c r="B842" s="24" t="s">
        <v>1852</v>
      </c>
      <c r="C842" s="24">
        <v>0.5</v>
      </c>
      <c r="D842" s="24">
        <v>1265</v>
      </c>
      <c r="E842" s="24">
        <v>3300</v>
      </c>
      <c r="F842" s="24" t="s">
        <v>1221</v>
      </c>
      <c r="G842" s="24" t="s">
        <v>1296</v>
      </c>
      <c r="H842" s="24" t="s">
        <v>1109</v>
      </c>
      <c r="I842" s="24" t="s">
        <v>1230</v>
      </c>
      <c r="K842" s="24" t="s">
        <v>1224</v>
      </c>
      <c r="L842" s="24" t="s">
        <v>1225</v>
      </c>
      <c r="M842" s="24" t="str">
        <f t="shared" si="13"/>
        <v>XWMRM104</v>
      </c>
    </row>
    <row r="843" spans="1:13" ht="11.4" customHeight="1">
      <c r="A843" s="24" t="s">
        <v>2021</v>
      </c>
      <c r="B843" s="24" t="s">
        <v>1852</v>
      </c>
      <c r="C843" s="24">
        <v>0.5</v>
      </c>
      <c r="D843" s="24">
        <v>1265</v>
      </c>
      <c r="E843" s="24">
        <v>3300</v>
      </c>
      <c r="F843" s="30" t="s">
        <v>1221</v>
      </c>
      <c r="G843" s="24" t="s">
        <v>1296</v>
      </c>
      <c r="H843" s="24" t="s">
        <v>1109</v>
      </c>
      <c r="I843" s="24" t="s">
        <v>1230</v>
      </c>
      <c r="K843" s="24" t="s">
        <v>1224</v>
      </c>
      <c r="L843" s="24" t="s">
        <v>1225</v>
      </c>
      <c r="M843" s="24" t="str">
        <f t="shared" si="13"/>
        <v>XWMRM104</v>
      </c>
    </row>
    <row r="844" spans="1:13" ht="11.4" customHeight="1">
      <c r="A844" s="24" t="s">
        <v>2022</v>
      </c>
      <c r="B844" s="24" t="s">
        <v>1852</v>
      </c>
      <c r="C844" s="24">
        <v>0.5</v>
      </c>
      <c r="D844" s="24">
        <v>1265</v>
      </c>
      <c r="E844" s="24">
        <v>2520</v>
      </c>
      <c r="F844" s="30" t="s">
        <v>1221</v>
      </c>
      <c r="G844" s="24" t="s">
        <v>1296</v>
      </c>
      <c r="H844" s="24" t="s">
        <v>1109</v>
      </c>
      <c r="I844" s="24" t="s">
        <v>1232</v>
      </c>
      <c r="K844" s="24" t="s">
        <v>1224</v>
      </c>
      <c r="L844" s="24" t="s">
        <v>1225</v>
      </c>
      <c r="M844" s="24" t="str">
        <f t="shared" si="13"/>
        <v>XWMRS101</v>
      </c>
    </row>
    <row r="845" spans="1:13" ht="11.4" customHeight="1">
      <c r="A845" s="24" t="s">
        <v>2023</v>
      </c>
      <c r="B845" s="24" t="s">
        <v>1852</v>
      </c>
      <c r="C845" s="24">
        <v>0.5</v>
      </c>
      <c r="D845" s="24">
        <v>1265</v>
      </c>
      <c r="E845" s="24">
        <v>2520</v>
      </c>
      <c r="F845" s="30" t="s">
        <v>1221</v>
      </c>
      <c r="G845" s="24" t="s">
        <v>1296</v>
      </c>
      <c r="H845" s="24" t="s">
        <v>1109</v>
      </c>
      <c r="I845" s="24" t="s">
        <v>1232</v>
      </c>
      <c r="K845" s="24" t="s">
        <v>1224</v>
      </c>
      <c r="L845" s="24" t="s">
        <v>1225</v>
      </c>
      <c r="M845" s="24" t="str">
        <f t="shared" si="13"/>
        <v>XWMRS101</v>
      </c>
    </row>
    <row r="846" spans="1:13" ht="11.4" customHeight="1">
      <c r="A846" s="24" t="s">
        <v>2024</v>
      </c>
      <c r="B846" s="24" t="s">
        <v>1852</v>
      </c>
      <c r="C846" s="24">
        <v>0.5</v>
      </c>
      <c r="D846" s="24">
        <v>1265</v>
      </c>
      <c r="E846" s="24">
        <v>3100</v>
      </c>
      <c r="F846" s="30" t="s">
        <v>1252</v>
      </c>
      <c r="G846" s="24" t="s">
        <v>1296</v>
      </c>
      <c r="H846" s="24" t="s">
        <v>1109</v>
      </c>
      <c r="I846" s="24" t="s">
        <v>1232</v>
      </c>
      <c r="K846" s="24" t="s">
        <v>1224</v>
      </c>
      <c r="L846" s="24" t="s">
        <v>1225</v>
      </c>
      <c r="M846" s="24" t="str">
        <f t="shared" si="13"/>
        <v>XWMRS102</v>
      </c>
    </row>
    <row r="847" spans="1:13" ht="11.4" customHeight="1">
      <c r="A847" s="24" t="s">
        <v>2025</v>
      </c>
      <c r="B847" s="24" t="s">
        <v>1852</v>
      </c>
      <c r="C847" s="24">
        <v>0.5</v>
      </c>
      <c r="D847" s="24">
        <v>1265</v>
      </c>
      <c r="E847" s="24">
        <v>3100</v>
      </c>
      <c r="F847" s="30" t="s">
        <v>1252</v>
      </c>
      <c r="G847" s="24" t="s">
        <v>1296</v>
      </c>
      <c r="H847" s="24" t="s">
        <v>1109</v>
      </c>
      <c r="I847" s="24" t="s">
        <v>1232</v>
      </c>
      <c r="K847" s="24" t="s">
        <v>1224</v>
      </c>
      <c r="L847" s="24" t="s">
        <v>1225</v>
      </c>
      <c r="M847" s="24" t="str">
        <f t="shared" si="13"/>
        <v>XWMRS102</v>
      </c>
    </row>
    <row r="848" spans="1:13" ht="11.4" customHeight="1">
      <c r="A848" s="24" t="s">
        <v>2026</v>
      </c>
      <c r="B848" s="24" t="s">
        <v>1852</v>
      </c>
      <c r="C848" s="24">
        <v>0.5</v>
      </c>
      <c r="D848" s="24">
        <v>1265</v>
      </c>
      <c r="E848" s="24">
        <v>2520</v>
      </c>
      <c r="F848" s="30" t="s">
        <v>1252</v>
      </c>
      <c r="G848" s="24" t="s">
        <v>1296</v>
      </c>
      <c r="H848" s="24" t="s">
        <v>1109</v>
      </c>
      <c r="I848" s="24" t="s">
        <v>1297</v>
      </c>
      <c r="K848" s="24" t="s">
        <v>1224</v>
      </c>
      <c r="L848" s="24" t="s">
        <v>1225</v>
      </c>
      <c r="M848" s="24" t="str">
        <f t="shared" si="13"/>
        <v>XWMRW103</v>
      </c>
    </row>
    <row r="849" spans="1:13" ht="11.4" customHeight="1">
      <c r="A849" s="24" t="s">
        <v>2027</v>
      </c>
      <c r="B849" s="24" t="s">
        <v>1852</v>
      </c>
      <c r="C849" s="24">
        <v>0.5</v>
      </c>
      <c r="D849" s="24">
        <v>1265</v>
      </c>
      <c r="E849" s="24">
        <v>2520</v>
      </c>
      <c r="F849" s="30" t="s">
        <v>1221</v>
      </c>
      <c r="G849" s="24" t="s">
        <v>1296</v>
      </c>
      <c r="H849" s="24" t="s">
        <v>1109</v>
      </c>
      <c r="I849" s="24" t="s">
        <v>1297</v>
      </c>
      <c r="K849" s="24" t="s">
        <v>1224</v>
      </c>
      <c r="L849" s="24" t="s">
        <v>1225</v>
      </c>
      <c r="M849" s="24" t="str">
        <f t="shared" si="13"/>
        <v>XWMRW104</v>
      </c>
    </row>
    <row r="850" spans="1:13" ht="11.4" customHeight="1">
      <c r="A850" s="24" t="s">
        <v>2028</v>
      </c>
      <c r="B850" s="24" t="s">
        <v>1852</v>
      </c>
      <c r="C850" s="24">
        <v>0.5</v>
      </c>
      <c r="D850" s="24">
        <v>1265</v>
      </c>
      <c r="E850" s="24">
        <v>2520</v>
      </c>
      <c r="F850" s="30" t="s">
        <v>1252</v>
      </c>
      <c r="G850" s="24" t="s">
        <v>1296</v>
      </c>
      <c r="H850" s="24" t="s">
        <v>1109</v>
      </c>
      <c r="I850" s="24" t="s">
        <v>1297</v>
      </c>
      <c r="K850" s="24" t="s">
        <v>1224</v>
      </c>
      <c r="L850" s="24" t="s">
        <v>1225</v>
      </c>
      <c r="M850" s="24" t="str">
        <f t="shared" si="13"/>
        <v>XWMRW103</v>
      </c>
    </row>
    <row r="851" spans="1:13" ht="11.4" customHeight="1">
      <c r="A851" s="24" t="s">
        <v>518</v>
      </c>
      <c r="B851" s="24" t="s">
        <v>1852</v>
      </c>
      <c r="C851" s="24">
        <v>0.5</v>
      </c>
      <c r="D851" s="24">
        <v>1265</v>
      </c>
      <c r="E851" s="24">
        <v>2520</v>
      </c>
      <c r="F851" s="30" t="s">
        <v>1221</v>
      </c>
      <c r="G851" s="24" t="s">
        <v>1296</v>
      </c>
      <c r="H851" s="24" t="s">
        <v>1109</v>
      </c>
      <c r="I851" s="24" t="s">
        <v>1297</v>
      </c>
      <c r="K851" s="24" t="s">
        <v>1224</v>
      </c>
      <c r="L851" s="24" t="s">
        <v>1225</v>
      </c>
      <c r="M851" s="24" t="str">
        <f t="shared" si="13"/>
        <v>XWMRW104</v>
      </c>
    </row>
    <row r="852" spans="1:13" ht="11.4" customHeight="1">
      <c r="A852" s="24" t="s">
        <v>2029</v>
      </c>
      <c r="B852" s="24" t="s">
        <v>1852</v>
      </c>
      <c r="C852" s="24">
        <v>0.5</v>
      </c>
      <c r="D852" s="24">
        <v>1265</v>
      </c>
      <c r="E852" s="24">
        <v>3300</v>
      </c>
      <c r="F852" s="30" t="s">
        <v>1221</v>
      </c>
      <c r="G852" s="24" t="s">
        <v>1296</v>
      </c>
      <c r="H852" s="24" t="s">
        <v>1109</v>
      </c>
      <c r="I852" s="24" t="s">
        <v>1297</v>
      </c>
      <c r="K852" s="24" t="s">
        <v>1224</v>
      </c>
      <c r="L852" s="24" t="s">
        <v>1225</v>
      </c>
      <c r="M852" s="24" t="str">
        <f t="shared" si="13"/>
        <v>XWMRW107</v>
      </c>
    </row>
    <row r="853" spans="1:13" ht="11.4" customHeight="1">
      <c r="A853" s="24" t="s">
        <v>526</v>
      </c>
      <c r="B853" s="24" t="s">
        <v>1852</v>
      </c>
      <c r="C853" s="24">
        <v>0.5</v>
      </c>
      <c r="D853" s="24">
        <v>1265</v>
      </c>
      <c r="E853" s="24">
        <v>3300</v>
      </c>
      <c r="F853" s="24" t="s">
        <v>1221</v>
      </c>
      <c r="G853" s="24" t="s">
        <v>1296</v>
      </c>
      <c r="H853" s="24" t="s">
        <v>1109</v>
      </c>
      <c r="I853" s="24" t="s">
        <v>1297</v>
      </c>
      <c r="K853" s="24" t="s">
        <v>1224</v>
      </c>
      <c r="L853" s="24" t="s">
        <v>1225</v>
      </c>
      <c r="M853" s="24" t="str">
        <f t="shared" si="13"/>
        <v>XWMRW107</v>
      </c>
    </row>
    <row r="854" spans="1:13" ht="11.4" customHeight="1">
      <c r="A854" s="24" t="s">
        <v>2030</v>
      </c>
      <c r="B854" s="24" t="s">
        <v>1852</v>
      </c>
      <c r="C854" s="24">
        <v>0.5</v>
      </c>
      <c r="D854" s="24">
        <v>1265</v>
      </c>
      <c r="E854" s="24">
        <v>2520</v>
      </c>
      <c r="F854" s="30" t="s">
        <v>1221</v>
      </c>
      <c r="G854" s="24" t="s">
        <v>1296</v>
      </c>
      <c r="H854" s="24" t="s">
        <v>1244</v>
      </c>
      <c r="I854" s="24" t="s">
        <v>1230</v>
      </c>
      <c r="K854" s="24" t="s">
        <v>1224</v>
      </c>
      <c r="L854" s="24" t="s">
        <v>1225</v>
      </c>
      <c r="M854" s="24" t="str">
        <f t="shared" si="13"/>
        <v>XWMRM204</v>
      </c>
    </row>
    <row r="855" spans="1:13" ht="11.4" customHeight="1">
      <c r="A855" s="24" t="s">
        <v>2031</v>
      </c>
      <c r="B855" s="24" t="s">
        <v>1852</v>
      </c>
      <c r="C855" s="24">
        <v>0.5</v>
      </c>
      <c r="D855" s="24">
        <v>1265</v>
      </c>
      <c r="E855" s="24">
        <v>2520</v>
      </c>
      <c r="F855" s="30" t="s">
        <v>1221</v>
      </c>
      <c r="G855" s="24" t="s">
        <v>1296</v>
      </c>
      <c r="H855" s="24" t="s">
        <v>1244</v>
      </c>
      <c r="I855" s="24" t="s">
        <v>1230</v>
      </c>
      <c r="K855" s="24" t="s">
        <v>1224</v>
      </c>
      <c r="L855" s="24" t="s">
        <v>1225</v>
      </c>
      <c r="M855" s="24" t="str">
        <f t="shared" si="13"/>
        <v>XWMRM204</v>
      </c>
    </row>
    <row r="856" spans="1:13" ht="11.4" customHeight="1">
      <c r="A856" s="24" t="s">
        <v>2032</v>
      </c>
      <c r="B856" s="24" t="s">
        <v>1852</v>
      </c>
      <c r="C856" s="24">
        <v>0.5</v>
      </c>
      <c r="D856" s="24">
        <v>1265</v>
      </c>
      <c r="E856" s="24">
        <v>2520</v>
      </c>
      <c r="F856" s="30" t="s">
        <v>1221</v>
      </c>
      <c r="G856" s="24" t="s">
        <v>1296</v>
      </c>
      <c r="H856" s="24" t="s">
        <v>1244</v>
      </c>
      <c r="I856" s="24" t="s">
        <v>1297</v>
      </c>
      <c r="K856" s="24" t="s">
        <v>1224</v>
      </c>
      <c r="L856" s="24" t="s">
        <v>1225</v>
      </c>
      <c r="M856" s="24" t="str">
        <f t="shared" si="13"/>
        <v>XWMRW204</v>
      </c>
    </row>
    <row r="857" spans="1:13" ht="11.4" customHeight="1">
      <c r="A857" s="24" t="s">
        <v>2033</v>
      </c>
      <c r="B857" s="24" t="s">
        <v>1852</v>
      </c>
      <c r="C857" s="24">
        <v>0.5</v>
      </c>
      <c r="D857" s="24">
        <v>1265</v>
      </c>
      <c r="E857" s="24">
        <v>2520</v>
      </c>
      <c r="F857" s="30" t="s">
        <v>1221</v>
      </c>
      <c r="G857" s="24" t="s">
        <v>1296</v>
      </c>
      <c r="H857" s="24" t="s">
        <v>1244</v>
      </c>
      <c r="I857" s="24" t="s">
        <v>1297</v>
      </c>
      <c r="K857" s="24" t="s">
        <v>1224</v>
      </c>
      <c r="L857" s="24" t="s">
        <v>1225</v>
      </c>
      <c r="M857" s="24" t="str">
        <f t="shared" si="13"/>
        <v>XWMRW204</v>
      </c>
    </row>
    <row r="858" spans="1:13" ht="11.4" customHeight="1">
      <c r="A858" s="24" t="s">
        <v>2034</v>
      </c>
      <c r="B858" s="24" t="s">
        <v>1852</v>
      </c>
      <c r="C858" s="24">
        <v>0.5</v>
      </c>
      <c r="D858" s="24">
        <v>1265</v>
      </c>
      <c r="E858" s="24">
        <v>3300</v>
      </c>
      <c r="F858" s="30" t="s">
        <v>1221</v>
      </c>
      <c r="G858" s="24" t="s">
        <v>1296</v>
      </c>
      <c r="H858" s="24" t="s">
        <v>1244</v>
      </c>
      <c r="I858" s="24" t="s">
        <v>1297</v>
      </c>
      <c r="K858" s="24" t="s">
        <v>1224</v>
      </c>
      <c r="L858" s="24" t="s">
        <v>1225</v>
      </c>
      <c r="M858" s="24" t="str">
        <f t="shared" si="13"/>
        <v>XWMRW214</v>
      </c>
    </row>
    <row r="859" spans="1:13" ht="11.4" customHeight="1">
      <c r="A859" s="24" t="s">
        <v>2035</v>
      </c>
      <c r="B859" s="24" t="s">
        <v>1852</v>
      </c>
      <c r="C859" s="24">
        <v>0.5</v>
      </c>
      <c r="D859" s="24">
        <v>1265</v>
      </c>
      <c r="E859" s="24">
        <v>3300</v>
      </c>
      <c r="F859" s="30" t="s">
        <v>1221</v>
      </c>
      <c r="G859" s="24" t="s">
        <v>1296</v>
      </c>
      <c r="H859" s="24" t="s">
        <v>1244</v>
      </c>
      <c r="I859" s="24" t="s">
        <v>1297</v>
      </c>
      <c r="K859" s="24" t="s">
        <v>1224</v>
      </c>
      <c r="L859" s="24" t="s">
        <v>1225</v>
      </c>
      <c r="M859" s="24" t="str">
        <f t="shared" si="13"/>
        <v>XWMRW214</v>
      </c>
    </row>
    <row r="860" spans="1:13" ht="11.4" customHeight="1">
      <c r="A860" s="24" t="s">
        <v>2036</v>
      </c>
      <c r="B860" s="24" t="s">
        <v>1852</v>
      </c>
      <c r="C860" s="24">
        <v>0.5</v>
      </c>
      <c r="D860" s="24">
        <v>1265</v>
      </c>
      <c r="E860" s="24">
        <v>2520</v>
      </c>
      <c r="F860" s="30" t="s">
        <v>1221</v>
      </c>
      <c r="G860" s="24" t="s">
        <v>1296</v>
      </c>
      <c r="H860" s="24" t="s">
        <v>1876</v>
      </c>
      <c r="I860" s="24" t="s">
        <v>1230</v>
      </c>
      <c r="K860" s="24" t="s">
        <v>1224</v>
      </c>
      <c r="L860" s="24" t="s">
        <v>1225</v>
      </c>
      <c r="M860" s="24" t="str">
        <f t="shared" si="13"/>
        <v>XWMRM201</v>
      </c>
    </row>
    <row r="861" spans="1:13" ht="11.4" customHeight="1">
      <c r="A861" s="24" t="s">
        <v>2037</v>
      </c>
      <c r="B861" s="24" t="s">
        <v>1852</v>
      </c>
      <c r="C861" s="24">
        <v>0.5</v>
      </c>
      <c r="D861" s="24">
        <v>1265</v>
      </c>
      <c r="E861" s="24">
        <v>2520</v>
      </c>
      <c r="F861" s="30" t="s">
        <v>1221</v>
      </c>
      <c r="G861" s="24" t="s">
        <v>1296</v>
      </c>
      <c r="H861" s="24" t="s">
        <v>1876</v>
      </c>
      <c r="I861" s="24" t="s">
        <v>1230</v>
      </c>
      <c r="K861" s="24" t="s">
        <v>1224</v>
      </c>
      <c r="L861" s="24" t="s">
        <v>1225</v>
      </c>
      <c r="M861" s="24" t="str">
        <f t="shared" si="13"/>
        <v>XWMRM201</v>
      </c>
    </row>
    <row r="862" spans="1:13" ht="11.4" customHeight="1">
      <c r="A862" s="24" t="s">
        <v>2038</v>
      </c>
      <c r="B862" s="24" t="s">
        <v>1852</v>
      </c>
      <c r="C862" s="24">
        <v>0.5</v>
      </c>
      <c r="D862" s="24">
        <v>1265</v>
      </c>
      <c r="E862" s="24">
        <v>2520</v>
      </c>
      <c r="F862" s="24" t="s">
        <v>1221</v>
      </c>
      <c r="G862" s="24" t="s">
        <v>1296</v>
      </c>
      <c r="H862" s="24" t="s">
        <v>1478</v>
      </c>
      <c r="I862" s="24" t="s">
        <v>1230</v>
      </c>
      <c r="K862" s="24" t="s">
        <v>1224</v>
      </c>
      <c r="L862" s="24" t="s">
        <v>1225</v>
      </c>
      <c r="M862" s="24" t="str">
        <f t="shared" si="13"/>
        <v>XWMRM301</v>
      </c>
    </row>
    <row r="863" spans="1:13" ht="11.4" customHeight="1">
      <c r="A863" s="24" t="s">
        <v>2039</v>
      </c>
      <c r="B863" s="24" t="s">
        <v>1852</v>
      </c>
      <c r="C863" s="24">
        <v>0.5</v>
      </c>
      <c r="D863" s="24">
        <v>1265</v>
      </c>
      <c r="E863" s="24">
        <v>2520</v>
      </c>
      <c r="F863" s="30" t="s">
        <v>1221</v>
      </c>
      <c r="G863" s="24" t="s">
        <v>1296</v>
      </c>
      <c r="H863" s="24" t="s">
        <v>1478</v>
      </c>
      <c r="I863" s="24" t="s">
        <v>1230</v>
      </c>
      <c r="K863" s="24" t="s">
        <v>1224</v>
      </c>
      <c r="L863" s="24" t="s">
        <v>1225</v>
      </c>
      <c r="M863" s="24" t="str">
        <f t="shared" si="13"/>
        <v>XWMRM301</v>
      </c>
    </row>
    <row r="864" spans="1:13" ht="11.4" customHeight="1">
      <c r="A864" s="24" t="s">
        <v>2040</v>
      </c>
      <c r="B864" s="24" t="s">
        <v>1852</v>
      </c>
      <c r="C864" s="24">
        <v>0.5</v>
      </c>
      <c r="D864" s="24">
        <v>1265</v>
      </c>
      <c r="E864" s="24">
        <v>2520</v>
      </c>
      <c r="F864" s="30" t="s">
        <v>1221</v>
      </c>
      <c r="G864" s="24" t="s">
        <v>1296</v>
      </c>
      <c r="H864" s="24" t="s">
        <v>1250</v>
      </c>
      <c r="I864" s="24" t="s">
        <v>1230</v>
      </c>
      <c r="K864" s="24" t="s">
        <v>1224</v>
      </c>
      <c r="L864" s="24" t="s">
        <v>1225</v>
      </c>
      <c r="M864" s="24" t="str">
        <f t="shared" si="13"/>
        <v>XWMRM401</v>
      </c>
    </row>
    <row r="865" spans="1:13" ht="11.4" customHeight="1">
      <c r="A865" s="24" t="s">
        <v>2041</v>
      </c>
      <c r="B865" s="24" t="s">
        <v>1852</v>
      </c>
      <c r="C865" s="24">
        <v>0.5</v>
      </c>
      <c r="D865" s="24">
        <v>1265</v>
      </c>
      <c r="E865" s="24">
        <v>2520</v>
      </c>
      <c r="F865" s="30" t="s">
        <v>1221</v>
      </c>
      <c r="G865" s="24" t="s">
        <v>1296</v>
      </c>
      <c r="H865" s="24" t="s">
        <v>1250</v>
      </c>
      <c r="I865" s="24" t="s">
        <v>1230</v>
      </c>
      <c r="K865" s="24" t="s">
        <v>1224</v>
      </c>
      <c r="L865" s="24" t="s">
        <v>1225</v>
      </c>
      <c r="M865" s="24" t="str">
        <f t="shared" si="13"/>
        <v>XWMRM401</v>
      </c>
    </row>
    <row r="866" spans="1:13" ht="11.4" customHeight="1">
      <c r="A866" s="24" t="s">
        <v>2042</v>
      </c>
      <c r="B866" s="24" t="s">
        <v>1852</v>
      </c>
      <c r="C866" s="24">
        <v>0.5</v>
      </c>
      <c r="D866" s="24">
        <v>1265</v>
      </c>
      <c r="E866" s="24">
        <v>2520</v>
      </c>
      <c r="F866" s="30" t="s">
        <v>1252</v>
      </c>
      <c r="G866" s="24" t="s">
        <v>1296</v>
      </c>
      <c r="H866" s="24" t="s">
        <v>49</v>
      </c>
      <c r="I866" s="24" t="s">
        <v>1232</v>
      </c>
      <c r="K866" s="24" t="s">
        <v>1224</v>
      </c>
      <c r="L866" s="24" t="s">
        <v>1225</v>
      </c>
      <c r="M866" s="24" t="str">
        <f t="shared" si="13"/>
        <v>XWMRSA01</v>
      </c>
    </row>
    <row r="867" spans="1:13" ht="11.4" customHeight="1">
      <c r="A867" s="24" t="s">
        <v>2043</v>
      </c>
      <c r="B867" s="24" t="s">
        <v>1852</v>
      </c>
      <c r="C867" s="24">
        <v>0.5</v>
      </c>
      <c r="D867" s="24">
        <v>1265</v>
      </c>
      <c r="E867" s="24">
        <v>2520</v>
      </c>
      <c r="F867" s="30" t="s">
        <v>1252</v>
      </c>
      <c r="G867" s="24" t="s">
        <v>1296</v>
      </c>
      <c r="H867" s="24" t="s">
        <v>49</v>
      </c>
      <c r="I867" s="24" t="s">
        <v>1232</v>
      </c>
      <c r="K867" s="24" t="s">
        <v>1224</v>
      </c>
      <c r="L867" s="24" t="s">
        <v>1225</v>
      </c>
      <c r="M867" s="24" t="str">
        <f t="shared" si="13"/>
        <v>XWMRSA01</v>
      </c>
    </row>
    <row r="868" spans="1:13" ht="11.4" customHeight="1">
      <c r="A868" s="24" t="s">
        <v>2044</v>
      </c>
      <c r="B868" s="24" t="s">
        <v>1852</v>
      </c>
      <c r="C868" s="24">
        <v>0.5</v>
      </c>
      <c r="D868" s="24">
        <v>1265</v>
      </c>
      <c r="E868" s="24">
        <v>2520</v>
      </c>
      <c r="F868" s="24" t="s">
        <v>1252</v>
      </c>
      <c r="G868" s="24" t="s">
        <v>1296</v>
      </c>
      <c r="H868" s="24" t="s">
        <v>49</v>
      </c>
      <c r="I868" s="24" t="s">
        <v>1297</v>
      </c>
      <c r="K868" s="24" t="s">
        <v>1224</v>
      </c>
      <c r="L868" s="24" t="s">
        <v>1225</v>
      </c>
      <c r="M868" s="24" t="str">
        <f t="shared" si="13"/>
        <v>XWMRWA22</v>
      </c>
    </row>
    <row r="869" spans="1:13" ht="11.4" customHeight="1">
      <c r="A869" s="24" t="s">
        <v>2045</v>
      </c>
      <c r="B869" s="24" t="s">
        <v>1852</v>
      </c>
      <c r="C869" s="24">
        <v>0.5</v>
      </c>
      <c r="D869" s="24">
        <v>1265</v>
      </c>
      <c r="E869" s="24">
        <v>2520</v>
      </c>
      <c r="F869" s="24" t="s">
        <v>1252</v>
      </c>
      <c r="G869" s="24" t="s">
        <v>1296</v>
      </c>
      <c r="H869" s="24" t="s">
        <v>49</v>
      </c>
      <c r="I869" s="24" t="s">
        <v>1297</v>
      </c>
      <c r="K869" s="24" t="s">
        <v>1224</v>
      </c>
      <c r="L869" s="24" t="s">
        <v>1225</v>
      </c>
      <c r="M869" s="24" t="str">
        <f t="shared" si="13"/>
        <v>XWMRWA22</v>
      </c>
    </row>
    <row r="870" spans="1:13" ht="11.4" customHeight="1">
      <c r="A870" s="24" t="s">
        <v>2046</v>
      </c>
      <c r="B870" s="24" t="s">
        <v>1852</v>
      </c>
      <c r="C870" s="24">
        <v>0.5</v>
      </c>
      <c r="D870" s="24">
        <v>1265</v>
      </c>
      <c r="E870" s="24">
        <v>3300</v>
      </c>
      <c r="F870" s="24" t="s">
        <v>1252</v>
      </c>
      <c r="G870" s="24" t="s">
        <v>1296</v>
      </c>
      <c r="H870" s="24" t="s">
        <v>49</v>
      </c>
      <c r="I870" s="24" t="s">
        <v>1297</v>
      </c>
      <c r="K870" s="24" t="s">
        <v>1224</v>
      </c>
      <c r="L870" s="24" t="s">
        <v>1225</v>
      </c>
      <c r="M870" s="24" t="str">
        <f t="shared" si="13"/>
        <v>XWMRWA08</v>
      </c>
    </row>
    <row r="871" spans="1:13" ht="11.4" customHeight="1">
      <c r="A871" s="24" t="s">
        <v>2047</v>
      </c>
      <c r="B871" s="24" t="s">
        <v>1852</v>
      </c>
      <c r="C871" s="24">
        <v>0.5</v>
      </c>
      <c r="D871" s="24">
        <v>1265</v>
      </c>
      <c r="E871" s="24">
        <v>3300</v>
      </c>
      <c r="F871" s="24" t="s">
        <v>1252</v>
      </c>
      <c r="G871" s="24" t="s">
        <v>1296</v>
      </c>
      <c r="H871" s="24" t="s">
        <v>49</v>
      </c>
      <c r="I871" s="24" t="s">
        <v>1297</v>
      </c>
      <c r="K871" s="24" t="s">
        <v>1224</v>
      </c>
      <c r="L871" s="24" t="s">
        <v>1225</v>
      </c>
      <c r="M871" s="24" t="str">
        <f t="shared" si="13"/>
        <v>XWMRWA08</v>
      </c>
    </row>
    <row r="872" spans="1:13" ht="11.4" customHeight="1">
      <c r="A872" s="24" t="s">
        <v>2048</v>
      </c>
      <c r="B872" s="24" t="s">
        <v>1852</v>
      </c>
      <c r="C872" s="24">
        <v>0.5</v>
      </c>
      <c r="D872" s="24">
        <v>1265</v>
      </c>
      <c r="E872" s="24">
        <v>2520</v>
      </c>
      <c r="F872" s="30" t="s">
        <v>1252</v>
      </c>
      <c r="G872" s="24" t="s">
        <v>1296</v>
      </c>
      <c r="H872" s="24" t="s">
        <v>1137</v>
      </c>
      <c r="I872" s="24" t="s">
        <v>1223</v>
      </c>
      <c r="K872" s="24" t="s">
        <v>1224</v>
      </c>
      <c r="L872" s="24" t="s">
        <v>1225</v>
      </c>
      <c r="M872" s="24" t="str">
        <f t="shared" si="13"/>
        <v>XWMRBB01</v>
      </c>
    </row>
    <row r="873" spans="1:13" ht="11.4" customHeight="1">
      <c r="A873" s="24" t="s">
        <v>2049</v>
      </c>
      <c r="B873" s="24" t="s">
        <v>1852</v>
      </c>
      <c r="C873" s="24">
        <v>0.5</v>
      </c>
      <c r="D873" s="24">
        <v>1265</v>
      </c>
      <c r="E873" s="24">
        <v>2520</v>
      </c>
      <c r="F873" s="30" t="s">
        <v>1252</v>
      </c>
      <c r="G873" s="24" t="s">
        <v>1296</v>
      </c>
      <c r="H873" s="24" t="s">
        <v>1137</v>
      </c>
      <c r="I873" s="24" t="s">
        <v>1223</v>
      </c>
      <c r="K873" s="24" t="s">
        <v>1224</v>
      </c>
      <c r="L873" s="24" t="s">
        <v>1225</v>
      </c>
      <c r="M873" s="24" t="str">
        <f t="shared" si="13"/>
        <v>XWMRBB01</v>
      </c>
    </row>
    <row r="874" spans="1:13" ht="11.4" customHeight="1">
      <c r="A874" s="24" t="s">
        <v>2050</v>
      </c>
      <c r="B874" s="24" t="s">
        <v>1852</v>
      </c>
      <c r="C874" s="24">
        <v>0.5</v>
      </c>
      <c r="D874" s="24">
        <v>1265</v>
      </c>
      <c r="E874" s="24">
        <v>2520</v>
      </c>
      <c r="F874" s="30" t="s">
        <v>1252</v>
      </c>
      <c r="G874" s="24" t="s">
        <v>1296</v>
      </c>
      <c r="H874" s="24" t="s">
        <v>1137</v>
      </c>
      <c r="I874" s="24" t="s">
        <v>1232</v>
      </c>
      <c r="K874" s="24" t="s">
        <v>1224</v>
      </c>
      <c r="L874" s="24" t="s">
        <v>1225</v>
      </c>
      <c r="M874" s="24" t="str">
        <f t="shared" si="13"/>
        <v>XWMRSB01</v>
      </c>
    </row>
    <row r="875" spans="1:13" ht="11.4" customHeight="1">
      <c r="A875" s="24" t="s">
        <v>2051</v>
      </c>
      <c r="B875" s="24" t="s">
        <v>1852</v>
      </c>
      <c r="C875" s="24">
        <v>0.5</v>
      </c>
      <c r="D875" s="24">
        <v>1265</v>
      </c>
      <c r="E875" s="24">
        <v>2520</v>
      </c>
      <c r="F875" s="30" t="s">
        <v>1252</v>
      </c>
      <c r="G875" s="24" t="s">
        <v>1296</v>
      </c>
      <c r="H875" s="24" t="s">
        <v>1137</v>
      </c>
      <c r="I875" s="24" t="s">
        <v>1232</v>
      </c>
      <c r="K875" s="24" t="s">
        <v>1224</v>
      </c>
      <c r="L875" s="24" t="s">
        <v>1225</v>
      </c>
      <c r="M875" s="24" t="str">
        <f t="shared" si="13"/>
        <v>XWMRSB01</v>
      </c>
    </row>
    <row r="876" spans="1:13" ht="11.4" customHeight="1">
      <c r="A876" s="24" t="s">
        <v>2052</v>
      </c>
      <c r="B876" s="24" t="s">
        <v>1852</v>
      </c>
      <c r="C876" s="24">
        <v>0.5</v>
      </c>
      <c r="D876" s="24">
        <v>1265</v>
      </c>
      <c r="E876" s="24">
        <v>3100</v>
      </c>
      <c r="F876" s="30" t="s">
        <v>1252</v>
      </c>
      <c r="G876" s="24" t="s">
        <v>1296</v>
      </c>
      <c r="H876" s="24" t="s">
        <v>1137</v>
      </c>
      <c r="I876" s="24" t="s">
        <v>1232</v>
      </c>
      <c r="K876" s="24" t="s">
        <v>1224</v>
      </c>
      <c r="L876" s="24" t="s">
        <v>1225</v>
      </c>
      <c r="M876" s="24" t="str">
        <f t="shared" si="13"/>
        <v>XWMRSB02</v>
      </c>
    </row>
    <row r="877" spans="1:13" ht="11.4" customHeight="1">
      <c r="A877" s="24" t="s">
        <v>2053</v>
      </c>
      <c r="B877" s="24" t="s">
        <v>1852</v>
      </c>
      <c r="C877" s="24">
        <v>0.5</v>
      </c>
      <c r="D877" s="24">
        <v>1265</v>
      </c>
      <c r="E877" s="24">
        <v>3100</v>
      </c>
      <c r="F877" s="30" t="s">
        <v>1252</v>
      </c>
      <c r="G877" s="24" t="s">
        <v>1296</v>
      </c>
      <c r="H877" s="24" t="s">
        <v>1137</v>
      </c>
      <c r="I877" s="24" t="s">
        <v>1232</v>
      </c>
      <c r="K877" s="24" t="s">
        <v>1224</v>
      </c>
      <c r="L877" s="24" t="s">
        <v>1225</v>
      </c>
      <c r="M877" s="24" t="str">
        <f t="shared" si="13"/>
        <v>XWMRSB02</v>
      </c>
    </row>
    <row r="878" spans="1:13" ht="11.4" customHeight="1">
      <c r="A878" s="24" t="s">
        <v>2054</v>
      </c>
      <c r="B878" s="24" t="s">
        <v>1852</v>
      </c>
      <c r="C878" s="24">
        <v>0.5</v>
      </c>
      <c r="D878" s="24">
        <v>1265</v>
      </c>
      <c r="E878" s="24">
        <v>3300</v>
      </c>
      <c r="F878" s="24" t="s">
        <v>1252</v>
      </c>
      <c r="G878" s="24" t="s">
        <v>1296</v>
      </c>
      <c r="H878" s="24" t="s">
        <v>1137</v>
      </c>
      <c r="I878" s="24" t="s">
        <v>1232</v>
      </c>
      <c r="K878" s="24" t="s">
        <v>1224</v>
      </c>
      <c r="L878" s="24" t="s">
        <v>1225</v>
      </c>
      <c r="M878" s="24" t="str">
        <f t="shared" si="13"/>
        <v>XWMRSB03</v>
      </c>
    </row>
    <row r="879" spans="1:13" ht="11.4" customHeight="1">
      <c r="A879" s="24" t="s">
        <v>2055</v>
      </c>
      <c r="B879" s="24" t="s">
        <v>1852</v>
      </c>
      <c r="C879" s="24">
        <v>0.5</v>
      </c>
      <c r="D879" s="24">
        <v>1265</v>
      </c>
      <c r="E879" s="24">
        <v>3300</v>
      </c>
      <c r="F879" s="30" t="s">
        <v>1252</v>
      </c>
      <c r="G879" s="24" t="s">
        <v>1296</v>
      </c>
      <c r="H879" s="24" t="s">
        <v>1137</v>
      </c>
      <c r="I879" s="24" t="s">
        <v>1232</v>
      </c>
      <c r="K879" s="24" t="s">
        <v>1224</v>
      </c>
      <c r="L879" s="24" t="s">
        <v>1225</v>
      </c>
      <c r="M879" s="24" t="str">
        <f t="shared" si="13"/>
        <v>XWMRSB03</v>
      </c>
    </row>
    <row r="880" spans="1:13" ht="11.4" customHeight="1">
      <c r="A880" s="24" t="s">
        <v>2056</v>
      </c>
      <c r="B880" s="24" t="s">
        <v>1852</v>
      </c>
      <c r="C880" s="24">
        <v>0.5</v>
      </c>
      <c r="D880" s="24">
        <v>1265</v>
      </c>
      <c r="E880" s="24">
        <v>2520</v>
      </c>
      <c r="F880" s="30" t="s">
        <v>1252</v>
      </c>
      <c r="G880" s="24" t="s">
        <v>1296</v>
      </c>
      <c r="H880" s="24" t="s">
        <v>1137</v>
      </c>
      <c r="I880" s="24" t="s">
        <v>1297</v>
      </c>
      <c r="K880" s="24" t="s">
        <v>1224</v>
      </c>
      <c r="L880" s="24" t="s">
        <v>1225</v>
      </c>
      <c r="M880" s="24" t="str">
        <f t="shared" si="13"/>
        <v>XWMRWB03</v>
      </c>
    </row>
    <row r="881" spans="1:13" ht="11.4" customHeight="1">
      <c r="A881" s="24" t="s">
        <v>2057</v>
      </c>
      <c r="B881" s="24" t="s">
        <v>1852</v>
      </c>
      <c r="C881" s="24">
        <v>0.5</v>
      </c>
      <c r="D881" s="24">
        <v>1265</v>
      </c>
      <c r="E881" s="24">
        <v>2520</v>
      </c>
      <c r="F881" s="30" t="s">
        <v>1221</v>
      </c>
      <c r="G881" s="24" t="s">
        <v>1296</v>
      </c>
      <c r="H881" s="24" t="s">
        <v>1137</v>
      </c>
      <c r="I881" s="24" t="s">
        <v>1297</v>
      </c>
      <c r="K881" s="24" t="s">
        <v>1224</v>
      </c>
      <c r="L881" s="24" t="s">
        <v>1225</v>
      </c>
      <c r="M881" s="24" t="str">
        <f t="shared" si="13"/>
        <v>XWMRWB05</v>
      </c>
    </row>
    <row r="882" spans="1:13" ht="11.4" customHeight="1">
      <c r="A882" s="24" t="s">
        <v>2058</v>
      </c>
      <c r="B882" s="24" t="s">
        <v>1852</v>
      </c>
      <c r="C882" s="24">
        <v>0.5</v>
      </c>
      <c r="D882" s="24">
        <v>1265</v>
      </c>
      <c r="E882" s="24">
        <v>2520</v>
      </c>
      <c r="F882" s="30" t="s">
        <v>1252</v>
      </c>
      <c r="G882" s="24" t="s">
        <v>1296</v>
      </c>
      <c r="H882" s="24" t="s">
        <v>1137</v>
      </c>
      <c r="I882" s="24" t="s">
        <v>1297</v>
      </c>
      <c r="K882" s="24" t="s">
        <v>1224</v>
      </c>
      <c r="L882" s="24" t="s">
        <v>1225</v>
      </c>
      <c r="M882" s="24" t="str">
        <f t="shared" si="13"/>
        <v>XWMRWB03</v>
      </c>
    </row>
    <row r="883" spans="1:13" ht="11.4" customHeight="1">
      <c r="A883" s="24" t="s">
        <v>509</v>
      </c>
      <c r="B883" s="24" t="s">
        <v>1852</v>
      </c>
      <c r="C883" s="24">
        <v>0.5</v>
      </c>
      <c r="D883" s="24">
        <v>1265</v>
      </c>
      <c r="E883" s="24">
        <v>2520</v>
      </c>
      <c r="F883" s="30" t="s">
        <v>1221</v>
      </c>
      <c r="G883" s="24" t="s">
        <v>1296</v>
      </c>
      <c r="H883" s="24" t="s">
        <v>1137</v>
      </c>
      <c r="I883" s="24" t="s">
        <v>1297</v>
      </c>
      <c r="K883" s="24" t="s">
        <v>1224</v>
      </c>
      <c r="L883" s="24" t="s">
        <v>1225</v>
      </c>
      <c r="M883" s="24" t="str">
        <f t="shared" si="13"/>
        <v>XWMRWB05</v>
      </c>
    </row>
    <row r="884" spans="1:13" ht="11.4" customHeight="1">
      <c r="A884" s="24" t="s">
        <v>2059</v>
      </c>
      <c r="B884" s="24" t="s">
        <v>1852</v>
      </c>
      <c r="C884" s="24">
        <v>0.5</v>
      </c>
      <c r="D884" s="24">
        <v>1265</v>
      </c>
      <c r="E884" s="24">
        <v>3300</v>
      </c>
      <c r="F884" s="30" t="s">
        <v>1252</v>
      </c>
      <c r="G884" s="24" t="s">
        <v>1296</v>
      </c>
      <c r="H884" s="24" t="s">
        <v>1137</v>
      </c>
      <c r="I884" s="24" t="s">
        <v>1297</v>
      </c>
      <c r="K884" s="24" t="s">
        <v>1224</v>
      </c>
      <c r="L884" s="24" t="s">
        <v>1225</v>
      </c>
      <c r="M884" s="24" t="str">
        <f t="shared" si="13"/>
        <v>XWMRWB14</v>
      </c>
    </row>
    <row r="885" spans="1:13" ht="11.4" customHeight="1">
      <c r="A885" s="24" t="s">
        <v>525</v>
      </c>
      <c r="B885" s="24" t="s">
        <v>1852</v>
      </c>
      <c r="C885" s="24">
        <v>0.5</v>
      </c>
      <c r="D885" s="24">
        <v>1265</v>
      </c>
      <c r="E885" s="24">
        <v>3300</v>
      </c>
      <c r="F885" s="30" t="s">
        <v>1252</v>
      </c>
      <c r="G885" s="24" t="s">
        <v>1296</v>
      </c>
      <c r="H885" s="24" t="s">
        <v>1137</v>
      </c>
      <c r="I885" s="24" t="s">
        <v>1297</v>
      </c>
      <c r="K885" s="24" t="s">
        <v>1224</v>
      </c>
      <c r="L885" s="24" t="s">
        <v>1225</v>
      </c>
      <c r="M885" s="24" t="str">
        <f t="shared" si="13"/>
        <v>XWMRWB14</v>
      </c>
    </row>
    <row r="886" spans="1:13" ht="11.4" customHeight="1">
      <c r="A886" s="24" t="s">
        <v>2060</v>
      </c>
      <c r="B886" s="24" t="s">
        <v>1852</v>
      </c>
      <c r="C886" s="24">
        <v>0.5</v>
      </c>
      <c r="D886" s="24">
        <v>1265</v>
      </c>
      <c r="E886" s="24">
        <v>2520</v>
      </c>
      <c r="F886" s="30" t="s">
        <v>1252</v>
      </c>
      <c r="G886" s="24" t="s">
        <v>1296</v>
      </c>
      <c r="H886" s="24" t="s">
        <v>1278</v>
      </c>
      <c r="I886" s="24" t="s">
        <v>1223</v>
      </c>
      <c r="K886" s="24" t="s">
        <v>1224</v>
      </c>
      <c r="L886" s="24" t="s">
        <v>1225</v>
      </c>
      <c r="M886" s="24" t="str">
        <f t="shared" si="13"/>
        <v>XWMRBC01</v>
      </c>
    </row>
    <row r="887" spans="1:13" ht="11.4" customHeight="1">
      <c r="A887" s="24" t="s">
        <v>2061</v>
      </c>
      <c r="B887" s="24" t="s">
        <v>1852</v>
      </c>
      <c r="C887" s="24">
        <v>0.5</v>
      </c>
      <c r="D887" s="24">
        <v>1265</v>
      </c>
      <c r="E887" s="24">
        <v>2520</v>
      </c>
      <c r="F887" s="30" t="s">
        <v>1252</v>
      </c>
      <c r="G887" s="24" t="s">
        <v>1296</v>
      </c>
      <c r="H887" s="24" t="s">
        <v>1278</v>
      </c>
      <c r="I887" s="24" t="s">
        <v>1223</v>
      </c>
      <c r="K887" s="24" t="s">
        <v>1224</v>
      </c>
      <c r="L887" s="24" t="s">
        <v>1225</v>
      </c>
      <c r="M887" s="24" t="str">
        <f t="shared" si="13"/>
        <v>XWMRBC01</v>
      </c>
    </row>
    <row r="888" spans="1:13" ht="11.4" customHeight="1">
      <c r="A888" s="24" t="s">
        <v>2062</v>
      </c>
      <c r="B888" s="24" t="s">
        <v>1852</v>
      </c>
      <c r="C888" s="24">
        <v>0.5</v>
      </c>
      <c r="D888" s="24">
        <v>1265</v>
      </c>
      <c r="E888" s="24">
        <v>2520</v>
      </c>
      <c r="F888" s="24" t="s">
        <v>1221</v>
      </c>
      <c r="G888" s="24" t="s">
        <v>1296</v>
      </c>
      <c r="H888" s="24" t="s">
        <v>1278</v>
      </c>
      <c r="I888" s="24" t="s">
        <v>1230</v>
      </c>
      <c r="K888" s="24" t="s">
        <v>1224</v>
      </c>
      <c r="L888" s="24" t="s">
        <v>1225</v>
      </c>
      <c r="M888" s="24" t="str">
        <f t="shared" si="13"/>
        <v>XWMRMC01</v>
      </c>
    </row>
    <row r="889" spans="1:13" ht="11.4" customHeight="1">
      <c r="A889" s="24" t="s">
        <v>2063</v>
      </c>
      <c r="B889" s="24" t="s">
        <v>1852</v>
      </c>
      <c r="C889" s="24">
        <v>0.5</v>
      </c>
      <c r="D889" s="24">
        <v>1265</v>
      </c>
      <c r="E889" s="24">
        <v>2520</v>
      </c>
      <c r="F889" s="30" t="s">
        <v>1221</v>
      </c>
      <c r="G889" s="24" t="s">
        <v>1296</v>
      </c>
      <c r="H889" s="24" t="s">
        <v>1278</v>
      </c>
      <c r="I889" s="24" t="s">
        <v>1230</v>
      </c>
      <c r="K889" s="24" t="s">
        <v>1224</v>
      </c>
      <c r="L889" s="24" t="s">
        <v>1225</v>
      </c>
      <c r="M889" s="24" t="str">
        <f t="shared" si="13"/>
        <v>XWMRMC01</v>
      </c>
    </row>
    <row r="890" spans="1:13" ht="11.4" customHeight="1">
      <c r="A890" s="24" t="s">
        <v>2064</v>
      </c>
      <c r="B890" s="24" t="s">
        <v>1852</v>
      </c>
      <c r="C890" s="24">
        <v>0.5</v>
      </c>
      <c r="D890" s="24">
        <v>1265</v>
      </c>
      <c r="E890" s="24">
        <v>2520</v>
      </c>
      <c r="F890" s="30" t="s">
        <v>1252</v>
      </c>
      <c r="G890" s="24" t="s">
        <v>1296</v>
      </c>
      <c r="H890" s="24" t="s">
        <v>1278</v>
      </c>
      <c r="I890" s="24" t="s">
        <v>1232</v>
      </c>
      <c r="K890" s="24" t="s">
        <v>1224</v>
      </c>
      <c r="L890" s="24" t="s">
        <v>1225</v>
      </c>
      <c r="M890" s="24" t="str">
        <f t="shared" si="13"/>
        <v>XWMRSC01</v>
      </c>
    </row>
    <row r="891" spans="1:13" ht="11.4" customHeight="1">
      <c r="A891" s="24" t="s">
        <v>2065</v>
      </c>
      <c r="B891" s="24" t="s">
        <v>1852</v>
      </c>
      <c r="C891" s="24">
        <v>0.5</v>
      </c>
      <c r="D891" s="24">
        <v>1265</v>
      </c>
      <c r="E891" s="24">
        <v>2520</v>
      </c>
      <c r="F891" s="30" t="s">
        <v>1252</v>
      </c>
      <c r="G891" s="24" t="s">
        <v>1296</v>
      </c>
      <c r="H891" s="24" t="s">
        <v>1278</v>
      </c>
      <c r="I891" s="24" t="s">
        <v>1232</v>
      </c>
      <c r="K891" s="24" t="s">
        <v>1224</v>
      </c>
      <c r="L891" s="24" t="s">
        <v>1225</v>
      </c>
      <c r="M891" s="24" t="str">
        <f t="shared" si="13"/>
        <v>XWMRSC01</v>
      </c>
    </row>
    <row r="892" spans="1:13" ht="11.4" customHeight="1">
      <c r="A892" s="24" t="s">
        <v>2066</v>
      </c>
      <c r="B892" s="24" t="s">
        <v>1852</v>
      </c>
      <c r="C892" s="24">
        <v>0.5</v>
      </c>
      <c r="D892" s="24">
        <v>1265</v>
      </c>
      <c r="E892" s="24">
        <v>2520</v>
      </c>
      <c r="F892" s="30" t="s">
        <v>1252</v>
      </c>
      <c r="G892" s="24" t="s">
        <v>1296</v>
      </c>
      <c r="H892" s="24" t="s">
        <v>1278</v>
      </c>
      <c r="I892" s="24" t="s">
        <v>1297</v>
      </c>
      <c r="K892" s="24" t="s">
        <v>1224</v>
      </c>
      <c r="L892" s="24" t="s">
        <v>1225</v>
      </c>
      <c r="M892" s="24" t="str">
        <f t="shared" si="13"/>
        <v>XWMRWC04</v>
      </c>
    </row>
    <row r="893" spans="1:13" ht="11.4" customHeight="1">
      <c r="A893" s="24" t="s">
        <v>2067</v>
      </c>
      <c r="B893" s="24" t="s">
        <v>1852</v>
      </c>
      <c r="C893" s="24">
        <v>0.5</v>
      </c>
      <c r="D893" s="24">
        <v>1265</v>
      </c>
      <c r="E893" s="24">
        <v>2520</v>
      </c>
      <c r="F893" s="30" t="s">
        <v>1252</v>
      </c>
      <c r="G893" s="24" t="s">
        <v>1296</v>
      </c>
      <c r="H893" s="24" t="s">
        <v>1278</v>
      </c>
      <c r="I893" s="24" t="s">
        <v>1297</v>
      </c>
      <c r="K893" s="24" t="s">
        <v>1224</v>
      </c>
      <c r="L893" s="24" t="s">
        <v>1225</v>
      </c>
      <c r="M893" s="24" t="str">
        <f t="shared" si="13"/>
        <v>XWMRWC04</v>
      </c>
    </row>
    <row r="894" spans="1:13" ht="11.4" customHeight="1">
      <c r="A894" s="24" t="s">
        <v>2068</v>
      </c>
      <c r="B894" s="24" t="s">
        <v>1852</v>
      </c>
      <c r="C894" s="24">
        <v>0.5</v>
      </c>
      <c r="D894" s="24">
        <v>1265</v>
      </c>
      <c r="E894" s="24">
        <v>3300</v>
      </c>
      <c r="F894" s="24" t="s">
        <v>1252</v>
      </c>
      <c r="G894" s="24" t="s">
        <v>1296</v>
      </c>
      <c r="H894" s="24" t="s">
        <v>2069</v>
      </c>
      <c r="I894" s="24" t="s">
        <v>1297</v>
      </c>
      <c r="K894" s="24" t="s">
        <v>1224</v>
      </c>
      <c r="L894" s="24" t="s">
        <v>1225</v>
      </c>
      <c r="M894" s="24" t="str">
        <f t="shared" si="13"/>
        <v>XWMRWC12</v>
      </c>
    </row>
    <row r="895" spans="1:13" ht="11.4" customHeight="1">
      <c r="A895" s="24" t="s">
        <v>2070</v>
      </c>
      <c r="B895" s="24" t="s">
        <v>1852</v>
      </c>
      <c r="C895" s="24">
        <v>0.5</v>
      </c>
      <c r="D895" s="24">
        <v>1265</v>
      </c>
      <c r="E895" s="24">
        <v>3300</v>
      </c>
      <c r="F895" s="30" t="s">
        <v>1252</v>
      </c>
      <c r="G895" s="24" t="s">
        <v>1296</v>
      </c>
      <c r="H895" s="24" t="s">
        <v>2069</v>
      </c>
      <c r="I895" s="24" t="s">
        <v>1297</v>
      </c>
      <c r="K895" s="24" t="s">
        <v>1224</v>
      </c>
      <c r="L895" s="24" t="s">
        <v>1225</v>
      </c>
      <c r="M895" s="24" t="str">
        <f t="shared" si="13"/>
        <v>XWMRWC12</v>
      </c>
    </row>
    <row r="896" spans="1:13" ht="11.4" customHeight="1">
      <c r="A896" s="24" t="s">
        <v>2071</v>
      </c>
      <c r="B896" s="24" t="s">
        <v>1852</v>
      </c>
      <c r="C896" s="24">
        <v>0.5</v>
      </c>
      <c r="D896" s="24">
        <v>1265</v>
      </c>
      <c r="E896" s="24">
        <v>2520</v>
      </c>
      <c r="G896" s="24" t="s">
        <v>1296</v>
      </c>
      <c r="H896" s="24" t="s">
        <v>1163</v>
      </c>
      <c r="I896" s="24" t="s">
        <v>1232</v>
      </c>
      <c r="K896" s="24" t="s">
        <v>1224</v>
      </c>
      <c r="L896" s="24" t="s">
        <v>1225</v>
      </c>
      <c r="M896" s="24" t="str">
        <f t="shared" si="13"/>
        <v>XWMRZW01</v>
      </c>
    </row>
    <row r="897" spans="1:13" ht="11.4" customHeight="1">
      <c r="A897" s="24" t="s">
        <v>2072</v>
      </c>
      <c r="B897" s="24" t="s">
        <v>1852</v>
      </c>
      <c r="C897" s="24">
        <v>0.5</v>
      </c>
      <c r="D897" s="24">
        <v>1265</v>
      </c>
      <c r="E897" s="24">
        <v>2520</v>
      </c>
      <c r="G897" s="24" t="s">
        <v>1296</v>
      </c>
      <c r="H897" s="24" t="s">
        <v>1163</v>
      </c>
      <c r="I897" s="24" t="s">
        <v>1232</v>
      </c>
      <c r="K897" s="24" t="s">
        <v>1224</v>
      </c>
      <c r="L897" s="24" t="s">
        <v>1225</v>
      </c>
      <c r="M897" s="24" t="str">
        <f t="shared" si="13"/>
        <v>XWMRZW01</v>
      </c>
    </row>
    <row r="898" spans="1:13" ht="11.4" customHeight="1">
      <c r="A898" s="24" t="s">
        <v>2073</v>
      </c>
      <c r="B898" s="24" t="s">
        <v>1852</v>
      </c>
      <c r="C898" s="24">
        <v>0.5</v>
      </c>
      <c r="D898" s="24">
        <v>1265</v>
      </c>
      <c r="E898" s="24">
        <v>2520</v>
      </c>
      <c r="F898" s="30" t="s">
        <v>1252</v>
      </c>
      <c r="G898" s="24" t="s">
        <v>1240</v>
      </c>
      <c r="H898" s="24" t="s">
        <v>2074</v>
      </c>
      <c r="I898" s="24" t="s">
        <v>1240</v>
      </c>
      <c r="K898" s="24" t="s">
        <v>1224</v>
      </c>
      <c r="L898" s="24" t="s">
        <v>1225</v>
      </c>
      <c r="M898" s="24" t="str">
        <f t="shared" ref="M898:M961" si="14">RIGHT(A898,8)</f>
        <v>XWMZZK01</v>
      </c>
    </row>
    <row r="899" spans="1:13" ht="11.4" customHeight="1">
      <c r="A899" s="24" t="s">
        <v>2075</v>
      </c>
      <c r="B899" s="24" t="s">
        <v>1852</v>
      </c>
      <c r="C899" s="24">
        <v>0.5</v>
      </c>
      <c r="D899" s="24">
        <v>1265</v>
      </c>
      <c r="E899" s="24">
        <v>2520</v>
      </c>
      <c r="F899" s="30" t="s">
        <v>1252</v>
      </c>
      <c r="G899" s="24" t="s">
        <v>1240</v>
      </c>
      <c r="H899" s="24" t="s">
        <v>2074</v>
      </c>
      <c r="I899" s="24" t="s">
        <v>1240</v>
      </c>
      <c r="K899" s="24" t="s">
        <v>1224</v>
      </c>
      <c r="L899" s="24" t="s">
        <v>1225</v>
      </c>
      <c r="M899" s="24" t="str">
        <f t="shared" si="14"/>
        <v>XWMZZK01</v>
      </c>
    </row>
    <row r="900" spans="1:13" ht="11.4" customHeight="1">
      <c r="A900" s="24" t="s">
        <v>2076</v>
      </c>
      <c r="B900" s="24" t="s">
        <v>1852</v>
      </c>
      <c r="C900" s="24">
        <v>0.5</v>
      </c>
      <c r="D900" s="24">
        <v>1265</v>
      </c>
      <c r="E900" s="24">
        <v>2520</v>
      </c>
      <c r="F900" s="30" t="s">
        <v>1221</v>
      </c>
      <c r="G900" s="24" t="s">
        <v>1240</v>
      </c>
      <c r="H900" s="24" t="s">
        <v>2077</v>
      </c>
      <c r="I900" s="24" t="s">
        <v>1240</v>
      </c>
      <c r="K900" s="24" t="s">
        <v>1224</v>
      </c>
      <c r="L900" s="24" t="s">
        <v>1225</v>
      </c>
      <c r="M900" s="24" t="str">
        <f t="shared" si="14"/>
        <v>XWMZZP01</v>
      </c>
    </row>
    <row r="901" spans="1:13" ht="11.4" customHeight="1">
      <c r="A901" s="24" t="s">
        <v>2078</v>
      </c>
      <c r="B901" s="24" t="s">
        <v>1852</v>
      </c>
      <c r="C901" s="24">
        <v>0.5</v>
      </c>
      <c r="D901" s="24">
        <v>1265</v>
      </c>
      <c r="E901" s="24">
        <v>2520</v>
      </c>
      <c r="F901" s="30" t="s">
        <v>1221</v>
      </c>
      <c r="G901" s="24" t="s">
        <v>1240</v>
      </c>
      <c r="H901" s="24" t="s">
        <v>2077</v>
      </c>
      <c r="I901" s="24" t="s">
        <v>1240</v>
      </c>
      <c r="K901" s="24" t="s">
        <v>1224</v>
      </c>
      <c r="L901" s="24" t="s">
        <v>1225</v>
      </c>
      <c r="M901" s="24" t="str">
        <f t="shared" si="14"/>
        <v>XWMZZP01</v>
      </c>
    </row>
    <row r="902" spans="1:13" ht="11.4" customHeight="1">
      <c r="A902" s="24" t="s">
        <v>2079</v>
      </c>
      <c r="B902" s="24" t="s">
        <v>1852</v>
      </c>
      <c r="C902" s="24">
        <v>0.55000000000000004</v>
      </c>
      <c r="D902" s="24">
        <v>1265</v>
      </c>
      <c r="E902" s="24">
        <v>2520</v>
      </c>
      <c r="F902" s="30" t="s">
        <v>1620</v>
      </c>
      <c r="G902" s="24" t="s">
        <v>1296</v>
      </c>
      <c r="H902" s="24" t="s">
        <v>1137</v>
      </c>
      <c r="I902" s="24" t="s">
        <v>1297</v>
      </c>
      <c r="K902" s="24" t="s">
        <v>1224</v>
      </c>
      <c r="L902" s="24" t="s">
        <v>1225</v>
      </c>
      <c r="M902" s="24" t="str">
        <f t="shared" si="14"/>
        <v>XWMRWB10</v>
      </c>
    </row>
    <row r="903" spans="1:13" ht="11.4" customHeight="1">
      <c r="A903" s="24" t="s">
        <v>2080</v>
      </c>
      <c r="B903" s="24" t="s">
        <v>1852</v>
      </c>
      <c r="C903" s="24">
        <v>0.55000000000000004</v>
      </c>
      <c r="D903" s="24">
        <v>1265</v>
      </c>
      <c r="E903" s="24">
        <v>2520</v>
      </c>
      <c r="F903" s="30" t="s">
        <v>1620</v>
      </c>
      <c r="G903" s="24" t="s">
        <v>1296</v>
      </c>
      <c r="H903" s="24" t="s">
        <v>1137</v>
      </c>
      <c r="I903" s="24" t="s">
        <v>1297</v>
      </c>
      <c r="K903" s="24" t="s">
        <v>1224</v>
      </c>
      <c r="L903" s="24" t="s">
        <v>1225</v>
      </c>
      <c r="M903" s="24" t="str">
        <f t="shared" si="14"/>
        <v>XWMRWB10</v>
      </c>
    </row>
    <row r="904" spans="1:13" ht="11.4" customHeight="1">
      <c r="A904" s="24" t="s">
        <v>2081</v>
      </c>
      <c r="B904" s="24" t="s">
        <v>1852</v>
      </c>
      <c r="C904" s="24">
        <v>0.55000000000000004</v>
      </c>
      <c r="D904" s="24">
        <v>1265</v>
      </c>
      <c r="E904" s="24">
        <v>2520</v>
      </c>
      <c r="F904" s="30" t="s">
        <v>1620</v>
      </c>
      <c r="G904" s="24" t="s">
        <v>1296</v>
      </c>
      <c r="H904" s="24" t="s">
        <v>1278</v>
      </c>
      <c r="I904" s="24" t="s">
        <v>1297</v>
      </c>
      <c r="K904" s="24" t="s">
        <v>1224</v>
      </c>
      <c r="L904" s="24" t="s">
        <v>1225</v>
      </c>
      <c r="M904" s="24" t="str">
        <f t="shared" si="14"/>
        <v>XWMRWC06</v>
      </c>
    </row>
    <row r="905" spans="1:13" ht="11.4" customHeight="1">
      <c r="A905" s="24" t="s">
        <v>2082</v>
      </c>
      <c r="B905" s="24" t="s">
        <v>1852</v>
      </c>
      <c r="C905" s="24">
        <v>0.55000000000000004</v>
      </c>
      <c r="D905" s="24">
        <v>1265</v>
      </c>
      <c r="E905" s="24">
        <v>2520</v>
      </c>
      <c r="F905" s="30" t="s">
        <v>1620</v>
      </c>
      <c r="G905" s="24" t="s">
        <v>1296</v>
      </c>
      <c r="H905" s="24" t="s">
        <v>1278</v>
      </c>
      <c r="I905" s="24" t="s">
        <v>1297</v>
      </c>
      <c r="K905" s="24" t="s">
        <v>1224</v>
      </c>
      <c r="L905" s="24" t="s">
        <v>1225</v>
      </c>
      <c r="M905" s="24" t="str">
        <f t="shared" si="14"/>
        <v>XWMRWC06</v>
      </c>
    </row>
    <row r="906" spans="1:13" ht="11.4" customHeight="1">
      <c r="A906" s="24" t="s">
        <v>2083</v>
      </c>
      <c r="B906" s="24" t="s">
        <v>1852</v>
      </c>
      <c r="C906" s="24">
        <v>0.6</v>
      </c>
      <c r="D906" s="24">
        <v>1265</v>
      </c>
      <c r="E906" s="24">
        <v>2520</v>
      </c>
      <c r="F906" s="30" t="s">
        <v>1221</v>
      </c>
      <c r="G906" s="24" t="s">
        <v>1296</v>
      </c>
      <c r="H906" s="24" t="s">
        <v>1244</v>
      </c>
      <c r="I906" s="24" t="s">
        <v>1297</v>
      </c>
      <c r="K906" s="24" t="s">
        <v>1224</v>
      </c>
      <c r="L906" s="24" t="s">
        <v>1225</v>
      </c>
      <c r="M906" s="24" t="str">
        <f t="shared" si="14"/>
        <v>XWMRW205</v>
      </c>
    </row>
    <row r="907" spans="1:13" ht="11.4" customHeight="1">
      <c r="A907" s="24" t="s">
        <v>2084</v>
      </c>
      <c r="B907" s="24" t="s">
        <v>1852</v>
      </c>
      <c r="C907" s="24">
        <v>0.6</v>
      </c>
      <c r="D907" s="24">
        <v>1265</v>
      </c>
      <c r="E907" s="24">
        <v>2520</v>
      </c>
      <c r="F907" s="30" t="s">
        <v>1221</v>
      </c>
      <c r="G907" s="24" t="s">
        <v>1296</v>
      </c>
      <c r="H907" s="24" t="s">
        <v>1244</v>
      </c>
      <c r="I907" s="24" t="s">
        <v>1297</v>
      </c>
      <c r="J907" s="24" t="s">
        <v>1122</v>
      </c>
      <c r="K907" s="24" t="s">
        <v>1224</v>
      </c>
      <c r="L907" s="24" t="s">
        <v>1225</v>
      </c>
      <c r="M907" s="24" t="str">
        <f t="shared" si="14"/>
        <v>XWMRW210</v>
      </c>
    </row>
    <row r="908" spans="1:13" ht="11.4" customHeight="1">
      <c r="A908" s="24" t="s">
        <v>2085</v>
      </c>
      <c r="B908" s="24" t="s">
        <v>1852</v>
      </c>
      <c r="C908" s="24">
        <v>0.6</v>
      </c>
      <c r="D908" s="24">
        <v>1265</v>
      </c>
      <c r="E908" s="24">
        <v>2520</v>
      </c>
      <c r="F908" s="30" t="s">
        <v>1221</v>
      </c>
      <c r="G908" s="24" t="s">
        <v>1296</v>
      </c>
      <c r="H908" s="24" t="s">
        <v>1244</v>
      </c>
      <c r="I908" s="24" t="s">
        <v>1297</v>
      </c>
      <c r="K908" s="24" t="s">
        <v>1224</v>
      </c>
      <c r="L908" s="24" t="s">
        <v>1225</v>
      </c>
      <c r="M908" s="24" t="str">
        <f t="shared" si="14"/>
        <v>XWMRW205</v>
      </c>
    </row>
    <row r="909" spans="1:13" ht="11.4" customHeight="1">
      <c r="A909" s="24" t="s">
        <v>2086</v>
      </c>
      <c r="B909" s="24" t="s">
        <v>1852</v>
      </c>
      <c r="C909" s="24">
        <v>0.6</v>
      </c>
      <c r="D909" s="24">
        <v>1265</v>
      </c>
      <c r="E909" s="24">
        <v>2520</v>
      </c>
      <c r="F909" s="30" t="s">
        <v>1221</v>
      </c>
      <c r="G909" s="24" t="s">
        <v>1296</v>
      </c>
      <c r="H909" s="24" t="s">
        <v>1244</v>
      </c>
      <c r="I909" s="24" t="s">
        <v>1297</v>
      </c>
      <c r="J909" s="24" t="s">
        <v>1122</v>
      </c>
      <c r="K909" s="24" t="s">
        <v>1224</v>
      </c>
      <c r="L909" s="24" t="s">
        <v>1225</v>
      </c>
      <c r="M909" s="24" t="str">
        <f t="shared" si="14"/>
        <v>XWMRW210</v>
      </c>
    </row>
    <row r="910" spans="1:13" ht="11.4" customHeight="1">
      <c r="A910" s="24" t="s">
        <v>2087</v>
      </c>
      <c r="B910" s="24" t="s">
        <v>1852</v>
      </c>
      <c r="C910" s="24">
        <v>0.6</v>
      </c>
      <c r="D910" s="24">
        <v>1265</v>
      </c>
      <c r="E910" s="24">
        <v>2520</v>
      </c>
      <c r="F910" s="30" t="s">
        <v>1252</v>
      </c>
      <c r="G910" s="24" t="s">
        <v>1296</v>
      </c>
      <c r="H910" s="24" t="s">
        <v>1137</v>
      </c>
      <c r="I910" s="24" t="s">
        <v>1297</v>
      </c>
      <c r="J910" s="24" t="s">
        <v>1122</v>
      </c>
      <c r="K910" s="24" t="s">
        <v>1224</v>
      </c>
      <c r="L910" s="24" t="s">
        <v>1225</v>
      </c>
      <c r="M910" s="24" t="str">
        <f t="shared" si="14"/>
        <v>XWMRWB13</v>
      </c>
    </row>
    <row r="911" spans="1:13" ht="11.4" customHeight="1">
      <c r="A911" s="24" t="s">
        <v>2088</v>
      </c>
      <c r="B911" s="24" t="s">
        <v>1852</v>
      </c>
      <c r="C911" s="24">
        <v>0.6</v>
      </c>
      <c r="D911" s="24">
        <v>1265</v>
      </c>
      <c r="E911" s="24">
        <v>2520</v>
      </c>
      <c r="F911" s="24" t="s">
        <v>1252</v>
      </c>
      <c r="G911" s="24" t="s">
        <v>1296</v>
      </c>
      <c r="H911" s="24" t="s">
        <v>1137</v>
      </c>
      <c r="I911" s="24" t="s">
        <v>1297</v>
      </c>
      <c r="J911" s="24" t="s">
        <v>1122</v>
      </c>
      <c r="K911" s="24" t="s">
        <v>1224</v>
      </c>
      <c r="L911" s="24" t="s">
        <v>1225</v>
      </c>
      <c r="M911" s="24" t="str">
        <f t="shared" si="14"/>
        <v>XWMRWB13</v>
      </c>
    </row>
    <row r="912" spans="1:13" ht="11.4" customHeight="1">
      <c r="A912" s="24" t="s">
        <v>2089</v>
      </c>
      <c r="B912" s="24" t="s">
        <v>1852</v>
      </c>
      <c r="C912" s="24">
        <v>0.6</v>
      </c>
      <c r="D912" s="24">
        <v>1265</v>
      </c>
      <c r="E912" s="24">
        <v>2520</v>
      </c>
      <c r="F912" s="30" t="s">
        <v>1252</v>
      </c>
      <c r="G912" s="24" t="s">
        <v>1296</v>
      </c>
      <c r="H912" s="24" t="s">
        <v>1278</v>
      </c>
      <c r="I912" s="24" t="s">
        <v>1297</v>
      </c>
      <c r="J912" s="24" t="s">
        <v>1122</v>
      </c>
      <c r="K912" s="24" t="s">
        <v>1224</v>
      </c>
      <c r="L912" s="24" t="s">
        <v>1225</v>
      </c>
      <c r="M912" s="24" t="str">
        <f t="shared" si="14"/>
        <v>XWMRWC11</v>
      </c>
    </row>
    <row r="913" spans="1:13" ht="11.4" customHeight="1">
      <c r="A913" s="24" t="s">
        <v>2090</v>
      </c>
      <c r="B913" s="24" t="s">
        <v>1852</v>
      </c>
      <c r="C913" s="24">
        <v>0.6</v>
      </c>
      <c r="D913" s="24">
        <v>1265</v>
      </c>
      <c r="E913" s="24">
        <v>2520</v>
      </c>
      <c r="F913" s="30" t="s">
        <v>1252</v>
      </c>
      <c r="G913" s="24" t="s">
        <v>1296</v>
      </c>
      <c r="H913" s="24" t="s">
        <v>1278</v>
      </c>
      <c r="I913" s="24" t="s">
        <v>1297</v>
      </c>
      <c r="J913" s="24" t="s">
        <v>1122</v>
      </c>
      <c r="K913" s="24" t="s">
        <v>1224</v>
      </c>
      <c r="L913" s="24" t="s">
        <v>1225</v>
      </c>
      <c r="M913" s="24" t="str">
        <f t="shared" si="14"/>
        <v>XWMRWC11</v>
      </c>
    </row>
    <row r="914" spans="1:13" ht="11.4" customHeight="1">
      <c r="A914" s="24" t="s">
        <v>2091</v>
      </c>
      <c r="B914" s="24" t="s">
        <v>2092</v>
      </c>
      <c r="C914" s="24">
        <v>0.2</v>
      </c>
      <c r="D914" s="24">
        <v>1265</v>
      </c>
      <c r="E914" s="24">
        <v>2520</v>
      </c>
      <c r="F914" s="30" t="s">
        <v>1252</v>
      </c>
      <c r="G914" s="24" t="s">
        <v>1222</v>
      </c>
      <c r="H914" s="24" t="s">
        <v>1137</v>
      </c>
      <c r="I914" s="24" t="s">
        <v>1223</v>
      </c>
      <c r="K914" s="24" t="s">
        <v>1224</v>
      </c>
      <c r="L914" s="24" t="s">
        <v>1225</v>
      </c>
      <c r="M914" s="24" t="str">
        <f t="shared" si="14"/>
        <v>XWOPBB02</v>
      </c>
    </row>
    <row r="915" spans="1:13" ht="11.4" customHeight="1">
      <c r="A915" s="24" t="s">
        <v>2093</v>
      </c>
      <c r="B915" s="24" t="s">
        <v>2092</v>
      </c>
      <c r="C915" s="24">
        <v>0.2</v>
      </c>
      <c r="D915" s="24">
        <v>1265</v>
      </c>
      <c r="E915" s="24">
        <v>2520</v>
      </c>
      <c r="F915" s="30" t="s">
        <v>1252</v>
      </c>
      <c r="G915" s="24" t="s">
        <v>1222</v>
      </c>
      <c r="H915" s="24" t="s">
        <v>1137</v>
      </c>
      <c r="I915" s="24" t="s">
        <v>1223</v>
      </c>
      <c r="K915" s="24" t="s">
        <v>1224</v>
      </c>
      <c r="L915" s="24" t="s">
        <v>1225</v>
      </c>
      <c r="M915" s="24" t="str">
        <f t="shared" si="14"/>
        <v>XWOPBB02</v>
      </c>
    </row>
    <row r="916" spans="1:13" ht="11.4" customHeight="1">
      <c r="A916" s="24" t="s">
        <v>1181</v>
      </c>
      <c r="B916" s="24" t="s">
        <v>2092</v>
      </c>
      <c r="C916" s="24">
        <v>0.4</v>
      </c>
      <c r="D916" s="24">
        <v>965</v>
      </c>
      <c r="E916" s="24">
        <v>2250</v>
      </c>
      <c r="F916" s="30" t="s">
        <v>1240</v>
      </c>
      <c r="G916" s="24" t="s">
        <v>1222</v>
      </c>
      <c r="H916" s="24" t="s">
        <v>1163</v>
      </c>
      <c r="I916" s="24" t="s">
        <v>1240</v>
      </c>
      <c r="K916" s="24" t="s">
        <v>1224</v>
      </c>
      <c r="L916" s="24" t="s">
        <v>1409</v>
      </c>
      <c r="M916" s="24" t="str">
        <f t="shared" si="14"/>
        <v>XWOPZW08</v>
      </c>
    </row>
    <row r="917" spans="1:13" ht="11.4" customHeight="1">
      <c r="A917" s="24" t="s">
        <v>1169</v>
      </c>
      <c r="B917" s="24" t="s">
        <v>2092</v>
      </c>
      <c r="C917" s="24">
        <v>0.4</v>
      </c>
      <c r="D917" s="24">
        <v>1265</v>
      </c>
      <c r="E917" s="24">
        <v>2520</v>
      </c>
      <c r="F917" s="30" t="s">
        <v>1240</v>
      </c>
      <c r="G917" s="24" t="s">
        <v>1679</v>
      </c>
      <c r="H917" s="24" t="s">
        <v>1163</v>
      </c>
      <c r="I917" s="24" t="s">
        <v>1240</v>
      </c>
      <c r="K917" s="24" t="s">
        <v>1224</v>
      </c>
      <c r="L917" s="24" t="s">
        <v>1225</v>
      </c>
      <c r="M917" s="24" t="str">
        <f t="shared" si="14"/>
        <v>XWOFZW03</v>
      </c>
    </row>
    <row r="918" spans="1:13" ht="11.4" customHeight="1">
      <c r="A918" s="24" t="s">
        <v>2094</v>
      </c>
      <c r="B918" s="24" t="s">
        <v>2092</v>
      </c>
      <c r="C918" s="24">
        <v>0.4</v>
      </c>
      <c r="D918" s="24">
        <v>1265</v>
      </c>
      <c r="E918" s="24">
        <v>2520</v>
      </c>
      <c r="F918" s="30" t="s">
        <v>1240</v>
      </c>
      <c r="G918" s="24" t="s">
        <v>1679</v>
      </c>
      <c r="H918" s="24" t="s">
        <v>1163</v>
      </c>
      <c r="I918" s="24" t="s">
        <v>1240</v>
      </c>
      <c r="K918" s="24" t="s">
        <v>1224</v>
      </c>
      <c r="L918" s="24" t="s">
        <v>1225</v>
      </c>
      <c r="M918" s="24" t="str">
        <f t="shared" si="14"/>
        <v>XWOFZW03</v>
      </c>
    </row>
    <row r="919" spans="1:13" ht="11.4" customHeight="1">
      <c r="A919" s="24" t="s">
        <v>1170</v>
      </c>
      <c r="B919" s="24" t="s">
        <v>2092</v>
      </c>
      <c r="C919" s="24">
        <v>0.4</v>
      </c>
      <c r="D919" s="24">
        <v>1265</v>
      </c>
      <c r="E919" s="24">
        <v>3100</v>
      </c>
      <c r="F919" s="30" t="s">
        <v>1240</v>
      </c>
      <c r="G919" s="24" t="s">
        <v>1679</v>
      </c>
      <c r="H919" s="24" t="s">
        <v>1163</v>
      </c>
      <c r="I919" s="24" t="s">
        <v>1240</v>
      </c>
      <c r="K919" s="24" t="s">
        <v>1224</v>
      </c>
      <c r="L919" s="24" t="s">
        <v>1225</v>
      </c>
      <c r="M919" s="24" t="str">
        <f t="shared" si="14"/>
        <v>XWOFZW04</v>
      </c>
    </row>
    <row r="920" spans="1:13" ht="11.4" customHeight="1">
      <c r="A920" s="24" t="s">
        <v>1168</v>
      </c>
      <c r="B920" s="24" t="s">
        <v>2092</v>
      </c>
      <c r="C920" s="24">
        <v>0.4</v>
      </c>
      <c r="D920" s="24">
        <v>965</v>
      </c>
      <c r="E920" s="24">
        <v>2250</v>
      </c>
      <c r="F920" s="30" t="s">
        <v>1240</v>
      </c>
      <c r="G920" s="24" t="s">
        <v>1679</v>
      </c>
      <c r="H920" s="24" t="s">
        <v>1163</v>
      </c>
      <c r="I920" s="24" t="s">
        <v>1240</v>
      </c>
      <c r="K920" s="24" t="s">
        <v>1224</v>
      </c>
      <c r="L920" s="24" t="s">
        <v>1409</v>
      </c>
      <c r="M920" s="24" t="str">
        <f t="shared" si="14"/>
        <v>XWOFZW05</v>
      </c>
    </row>
    <row r="921" spans="1:13" ht="11.4" customHeight="1">
      <c r="A921" s="24" t="s">
        <v>1161</v>
      </c>
      <c r="B921" s="24" t="s">
        <v>2092</v>
      </c>
      <c r="C921" s="24">
        <v>0.5</v>
      </c>
      <c r="D921" s="24">
        <v>965</v>
      </c>
      <c r="E921" s="24">
        <v>2250</v>
      </c>
      <c r="F921" s="30" t="s">
        <v>1240</v>
      </c>
      <c r="G921" s="24" t="s">
        <v>1679</v>
      </c>
      <c r="H921" s="24" t="s">
        <v>1163</v>
      </c>
      <c r="I921" s="24" t="s">
        <v>1240</v>
      </c>
      <c r="K921" s="24" t="s">
        <v>1224</v>
      </c>
      <c r="L921" s="24" t="s">
        <v>1409</v>
      </c>
      <c r="M921" s="24" t="str">
        <f t="shared" si="14"/>
        <v>XWOFZW06</v>
      </c>
    </row>
    <row r="922" spans="1:13" ht="11.4" customHeight="1">
      <c r="A922" s="24" t="s">
        <v>2095</v>
      </c>
      <c r="B922" s="24" t="s">
        <v>2092</v>
      </c>
      <c r="C922" s="24">
        <v>0.5</v>
      </c>
      <c r="D922" s="24">
        <v>965</v>
      </c>
      <c r="E922" s="24">
        <v>2800</v>
      </c>
      <c r="F922" s="30" t="s">
        <v>1240</v>
      </c>
      <c r="G922" s="24" t="s">
        <v>1679</v>
      </c>
      <c r="H922" s="24" t="s">
        <v>1163</v>
      </c>
      <c r="I922" s="24" t="s">
        <v>1240</v>
      </c>
      <c r="K922" s="24" t="s">
        <v>1224</v>
      </c>
      <c r="L922" s="24" t="s">
        <v>1409</v>
      </c>
      <c r="M922" s="24" t="str">
        <f t="shared" si="14"/>
        <v>XWOFZW07</v>
      </c>
    </row>
    <row r="923" spans="1:13" ht="11.4" customHeight="1">
      <c r="A923" s="24" t="s">
        <v>2096</v>
      </c>
      <c r="B923" s="24" t="s">
        <v>2092</v>
      </c>
      <c r="C923" s="24">
        <v>0.4</v>
      </c>
      <c r="D923" s="24">
        <v>965</v>
      </c>
      <c r="E923" s="24">
        <v>2250</v>
      </c>
      <c r="F923" s="30" t="s">
        <v>1252</v>
      </c>
      <c r="G923" s="24" t="s">
        <v>1679</v>
      </c>
      <c r="H923" s="33" t="s">
        <v>1380</v>
      </c>
      <c r="I923" s="24" t="s">
        <v>1223</v>
      </c>
      <c r="K923" s="24" t="s">
        <v>1224</v>
      </c>
      <c r="L923" s="33" t="s">
        <v>1339</v>
      </c>
      <c r="M923" s="24" t="str">
        <f t="shared" si="14"/>
        <v>XWOFBA16</v>
      </c>
    </row>
    <row r="924" spans="1:13" ht="11.4" customHeight="1">
      <c r="A924" s="24" t="s">
        <v>2097</v>
      </c>
      <c r="B924" s="24" t="s">
        <v>2092</v>
      </c>
      <c r="C924" s="24">
        <v>0.4</v>
      </c>
      <c r="D924" s="24">
        <v>965</v>
      </c>
      <c r="E924" s="24">
        <v>2250</v>
      </c>
      <c r="F924" s="30" t="s">
        <v>1252</v>
      </c>
      <c r="G924" s="24" t="s">
        <v>1679</v>
      </c>
      <c r="H924" s="33" t="s">
        <v>1380</v>
      </c>
      <c r="I924" s="24" t="s">
        <v>1223</v>
      </c>
      <c r="K924" s="24" t="s">
        <v>1224</v>
      </c>
      <c r="L924" s="33" t="s">
        <v>1339</v>
      </c>
      <c r="M924" s="24" t="str">
        <f t="shared" si="14"/>
        <v>XWOFBA16</v>
      </c>
    </row>
    <row r="925" spans="1:13" s="33" customFormat="1" ht="11.4" customHeight="1">
      <c r="A925" s="33" t="s">
        <v>2098</v>
      </c>
      <c r="B925" s="33" t="s">
        <v>2092</v>
      </c>
      <c r="C925" s="33">
        <v>0.4</v>
      </c>
      <c r="D925" s="33">
        <v>1265</v>
      </c>
      <c r="E925" s="33">
        <v>2520</v>
      </c>
      <c r="F925" s="34" t="s">
        <v>1252</v>
      </c>
      <c r="G925" s="33" t="s">
        <v>1222</v>
      </c>
      <c r="H925" s="33" t="s">
        <v>49</v>
      </c>
      <c r="I925" s="33" t="s">
        <v>1223</v>
      </c>
      <c r="K925" s="33" t="s">
        <v>1224</v>
      </c>
      <c r="L925" s="33" t="s">
        <v>1225</v>
      </c>
      <c r="M925" s="33" t="str">
        <f t="shared" si="14"/>
        <v>XWOPBA18</v>
      </c>
    </row>
    <row r="926" spans="1:13" s="33" customFormat="1" ht="11.4" customHeight="1">
      <c r="A926" s="33" t="s">
        <v>2099</v>
      </c>
      <c r="B926" s="33" t="s">
        <v>2092</v>
      </c>
      <c r="C926" s="33">
        <v>0.4</v>
      </c>
      <c r="D926" s="33">
        <v>1265</v>
      </c>
      <c r="E926" s="33">
        <v>2520</v>
      </c>
      <c r="F926" s="34" t="s">
        <v>1252</v>
      </c>
      <c r="G926" s="33" t="s">
        <v>1222</v>
      </c>
      <c r="H926" s="33" t="s">
        <v>49</v>
      </c>
      <c r="I926" s="33" t="s">
        <v>1223</v>
      </c>
      <c r="K926" s="33" t="s">
        <v>1224</v>
      </c>
      <c r="L926" s="33" t="s">
        <v>1225</v>
      </c>
      <c r="M926" s="33" t="str">
        <f t="shared" si="14"/>
        <v>XWOPBA18</v>
      </c>
    </row>
    <row r="927" spans="1:13" s="33" customFormat="1" ht="11.4" customHeight="1">
      <c r="A927" s="33" t="s">
        <v>2100</v>
      </c>
      <c r="B927" s="33" t="s">
        <v>2092</v>
      </c>
      <c r="C927" s="33">
        <v>0.4</v>
      </c>
      <c r="D927" s="33">
        <v>965</v>
      </c>
      <c r="E927" s="33">
        <v>2250</v>
      </c>
      <c r="F927" s="34" t="s">
        <v>1252</v>
      </c>
      <c r="G927" s="33" t="s">
        <v>1222</v>
      </c>
      <c r="H927" s="33" t="s">
        <v>1380</v>
      </c>
      <c r="I927" s="33" t="s">
        <v>1223</v>
      </c>
      <c r="K927" s="33" t="s">
        <v>1224</v>
      </c>
      <c r="L927" s="33" t="s">
        <v>1339</v>
      </c>
      <c r="M927" s="33" t="str">
        <f t="shared" si="14"/>
        <v>XWOPBA19</v>
      </c>
    </row>
    <row r="928" spans="1:13" s="33" customFormat="1" ht="11.4" customHeight="1">
      <c r="A928" s="33" t="s">
        <v>2101</v>
      </c>
      <c r="B928" s="33" t="s">
        <v>2092</v>
      </c>
      <c r="C928" s="33">
        <v>0.4</v>
      </c>
      <c r="D928" s="33">
        <v>965</v>
      </c>
      <c r="E928" s="33">
        <v>2250</v>
      </c>
      <c r="F928" s="34" t="s">
        <v>1252</v>
      </c>
      <c r="G928" s="33" t="s">
        <v>1222</v>
      </c>
      <c r="H928" s="33" t="s">
        <v>1380</v>
      </c>
      <c r="I928" s="33" t="s">
        <v>1223</v>
      </c>
      <c r="K928" s="33" t="s">
        <v>1224</v>
      </c>
      <c r="L928" s="33" t="s">
        <v>1339</v>
      </c>
      <c r="M928" s="33" t="str">
        <f t="shared" si="14"/>
        <v>XWOPBA19</v>
      </c>
    </row>
    <row r="929" spans="1:13" s="33" customFormat="1" ht="11.25" customHeight="1">
      <c r="A929" s="33" t="s">
        <v>2102</v>
      </c>
      <c r="B929" s="33" t="s">
        <v>2092</v>
      </c>
      <c r="C929" s="33">
        <v>0.4</v>
      </c>
      <c r="D929" s="33">
        <v>965</v>
      </c>
      <c r="E929" s="33">
        <v>2520</v>
      </c>
      <c r="F929" s="34" t="s">
        <v>1252</v>
      </c>
      <c r="G929" s="33" t="s">
        <v>1222</v>
      </c>
      <c r="H929" s="33" t="s">
        <v>1380</v>
      </c>
      <c r="I929" s="33" t="s">
        <v>1223</v>
      </c>
      <c r="K929" s="33" t="s">
        <v>1224</v>
      </c>
      <c r="L929" s="33" t="s">
        <v>1339</v>
      </c>
      <c r="M929" s="33" t="str">
        <f t="shared" si="14"/>
        <v>XWOPBA20</v>
      </c>
    </row>
    <row r="930" spans="1:13" s="33" customFormat="1" ht="11.4" customHeight="1">
      <c r="A930" s="33" t="s">
        <v>2103</v>
      </c>
      <c r="B930" s="33" t="s">
        <v>2092</v>
      </c>
      <c r="C930" s="33">
        <v>0.4</v>
      </c>
      <c r="D930" s="33">
        <v>965</v>
      </c>
      <c r="E930" s="33">
        <v>2520</v>
      </c>
      <c r="F930" s="34" t="s">
        <v>1252</v>
      </c>
      <c r="G930" s="33" t="s">
        <v>1222</v>
      </c>
      <c r="H930" s="33" t="s">
        <v>1380</v>
      </c>
      <c r="I930" s="33" t="s">
        <v>1223</v>
      </c>
      <c r="K930" s="33" t="s">
        <v>1224</v>
      </c>
      <c r="L930" s="33" t="s">
        <v>1339</v>
      </c>
      <c r="M930" s="33" t="str">
        <f t="shared" si="14"/>
        <v>XWOPBA20</v>
      </c>
    </row>
    <row r="931" spans="1:13" s="33" customFormat="1" ht="11.4" customHeight="1">
      <c r="A931" s="33" t="s">
        <v>2104</v>
      </c>
      <c r="B931" s="33" t="s">
        <v>2092</v>
      </c>
      <c r="C931" s="33">
        <v>0.4</v>
      </c>
      <c r="D931" s="33">
        <v>1265</v>
      </c>
      <c r="E931" s="33">
        <v>2520</v>
      </c>
      <c r="F931" s="34" t="s">
        <v>1252</v>
      </c>
      <c r="G931" s="33" t="s">
        <v>1222</v>
      </c>
      <c r="H931" s="33" t="s">
        <v>1278</v>
      </c>
      <c r="I931" s="33" t="s">
        <v>1223</v>
      </c>
      <c r="K931" s="33" t="s">
        <v>1224</v>
      </c>
      <c r="L931" s="33" t="s">
        <v>1225</v>
      </c>
      <c r="M931" s="33" t="str">
        <f t="shared" si="14"/>
        <v>XWOPBC05</v>
      </c>
    </row>
    <row r="932" spans="1:13" s="33" customFormat="1" ht="11.4" customHeight="1">
      <c r="A932" s="33" t="s">
        <v>2105</v>
      </c>
      <c r="B932" s="33" t="s">
        <v>2092</v>
      </c>
      <c r="C932" s="33">
        <v>0.4</v>
      </c>
      <c r="D932" s="33">
        <v>1265</v>
      </c>
      <c r="E932" s="33">
        <v>2520</v>
      </c>
      <c r="F932" s="34" t="s">
        <v>1252</v>
      </c>
      <c r="G932" s="33" t="s">
        <v>1222</v>
      </c>
      <c r="H932" s="33" t="s">
        <v>1278</v>
      </c>
      <c r="I932" s="33" t="s">
        <v>1223</v>
      </c>
      <c r="K932" s="33" t="s">
        <v>1224</v>
      </c>
      <c r="L932" s="33" t="s">
        <v>1225</v>
      </c>
      <c r="M932" s="33" t="str">
        <f t="shared" si="14"/>
        <v>XWOPBC05</v>
      </c>
    </row>
    <row r="933" spans="1:13" ht="11.4" customHeight="1">
      <c r="A933" s="24" t="s">
        <v>2106</v>
      </c>
      <c r="B933" s="24" t="s">
        <v>2092</v>
      </c>
      <c r="C933" s="24">
        <v>0.4</v>
      </c>
      <c r="D933" s="24">
        <v>1265</v>
      </c>
      <c r="E933" s="24">
        <v>2520</v>
      </c>
      <c r="F933" s="30" t="s">
        <v>1252</v>
      </c>
      <c r="G933" s="24" t="s">
        <v>1679</v>
      </c>
      <c r="H933" s="24" t="s">
        <v>49</v>
      </c>
      <c r="I933" s="24" t="s">
        <v>1232</v>
      </c>
      <c r="K933" s="24" t="s">
        <v>1224</v>
      </c>
      <c r="L933" s="24" t="s">
        <v>1225</v>
      </c>
      <c r="M933" s="24" t="str">
        <f t="shared" si="14"/>
        <v>XWOFSA22</v>
      </c>
    </row>
    <row r="934" spans="1:13" ht="11.4" customHeight="1">
      <c r="A934" s="24" t="s">
        <v>2107</v>
      </c>
      <c r="B934" s="24" t="s">
        <v>2092</v>
      </c>
      <c r="C934" s="24">
        <v>0.4</v>
      </c>
      <c r="D934" s="24">
        <v>1265</v>
      </c>
      <c r="E934" s="24">
        <v>2520</v>
      </c>
      <c r="F934" s="30" t="s">
        <v>1252</v>
      </c>
      <c r="G934" s="24" t="s">
        <v>1679</v>
      </c>
      <c r="H934" s="24" t="s">
        <v>49</v>
      </c>
      <c r="I934" s="24" t="s">
        <v>1232</v>
      </c>
      <c r="K934" s="24" t="s">
        <v>1224</v>
      </c>
      <c r="L934" s="24" t="s">
        <v>1225</v>
      </c>
      <c r="M934" s="24" t="str">
        <f t="shared" si="14"/>
        <v>XWOFSA22</v>
      </c>
    </row>
    <row r="935" spans="1:13" ht="11.4" customHeight="1">
      <c r="A935" s="24" t="s">
        <v>2108</v>
      </c>
      <c r="B935" s="24" t="s">
        <v>2092</v>
      </c>
      <c r="C935" s="24">
        <v>0.4</v>
      </c>
      <c r="D935" s="24">
        <v>1265</v>
      </c>
      <c r="E935" s="24">
        <v>2520</v>
      </c>
      <c r="F935" s="30" t="s">
        <v>1252</v>
      </c>
      <c r="G935" s="24" t="s">
        <v>1679</v>
      </c>
      <c r="H935" s="24" t="s">
        <v>1137</v>
      </c>
      <c r="I935" s="24" t="s">
        <v>1232</v>
      </c>
      <c r="K935" s="24" t="s">
        <v>1224</v>
      </c>
      <c r="L935" s="24" t="s">
        <v>1225</v>
      </c>
      <c r="M935" s="24" t="str">
        <f t="shared" si="14"/>
        <v>XWOFSB03</v>
      </c>
    </row>
    <row r="936" spans="1:13" ht="11.4" customHeight="1">
      <c r="A936" s="24" t="s">
        <v>2109</v>
      </c>
      <c r="B936" s="24" t="s">
        <v>2092</v>
      </c>
      <c r="C936" s="24">
        <v>0.4</v>
      </c>
      <c r="D936" s="24">
        <v>1265</v>
      </c>
      <c r="E936" s="24">
        <v>2520</v>
      </c>
      <c r="F936" s="30" t="s">
        <v>1252</v>
      </c>
      <c r="G936" s="24" t="s">
        <v>1679</v>
      </c>
      <c r="H936" s="24" t="s">
        <v>1137</v>
      </c>
      <c r="I936" s="24" t="s">
        <v>1232</v>
      </c>
      <c r="K936" s="24" t="s">
        <v>1224</v>
      </c>
      <c r="L936" s="24" t="s">
        <v>1225</v>
      </c>
      <c r="M936" s="24" t="str">
        <f t="shared" si="14"/>
        <v>XWOFSB03</v>
      </c>
    </row>
    <row r="937" spans="1:13" ht="11.4" customHeight="1">
      <c r="A937" s="24" t="s">
        <v>2110</v>
      </c>
      <c r="B937" s="24" t="s">
        <v>2092</v>
      </c>
      <c r="C937" s="24">
        <v>0.4</v>
      </c>
      <c r="D937" s="24">
        <v>1265</v>
      </c>
      <c r="E937" s="24">
        <v>2520</v>
      </c>
      <c r="F937" s="30" t="s">
        <v>1252</v>
      </c>
      <c r="G937" s="24" t="s">
        <v>1679</v>
      </c>
      <c r="H937" s="24" t="s">
        <v>1278</v>
      </c>
      <c r="I937" s="24" t="s">
        <v>1232</v>
      </c>
      <c r="K937" s="24" t="s">
        <v>1224</v>
      </c>
      <c r="L937" s="24" t="s">
        <v>1225</v>
      </c>
      <c r="M937" s="24" t="str">
        <f t="shared" si="14"/>
        <v>XWOFSC04</v>
      </c>
    </row>
    <row r="938" spans="1:13" ht="11.4" customHeight="1">
      <c r="A938" s="24" t="s">
        <v>2111</v>
      </c>
      <c r="B938" s="24" t="s">
        <v>2092</v>
      </c>
      <c r="C938" s="24">
        <v>0.4</v>
      </c>
      <c r="D938" s="24">
        <v>1265</v>
      </c>
      <c r="E938" s="24">
        <v>2520</v>
      </c>
      <c r="F938" s="30" t="s">
        <v>1252</v>
      </c>
      <c r="G938" s="24" t="s">
        <v>1679</v>
      </c>
      <c r="H938" s="24" t="s">
        <v>1278</v>
      </c>
      <c r="I938" s="24" t="s">
        <v>1232</v>
      </c>
      <c r="K938" s="24" t="s">
        <v>1224</v>
      </c>
      <c r="L938" s="24" t="s">
        <v>1225</v>
      </c>
      <c r="M938" s="24" t="str">
        <f t="shared" si="14"/>
        <v>XWOFSC04</v>
      </c>
    </row>
    <row r="939" spans="1:13" ht="11.4" customHeight="1">
      <c r="A939" s="24" t="s">
        <v>2112</v>
      </c>
      <c r="B939" s="24" t="s">
        <v>2092</v>
      </c>
      <c r="C939" s="24">
        <v>0.4</v>
      </c>
      <c r="D939" s="24">
        <v>1265</v>
      </c>
      <c r="E939" s="24">
        <v>2520</v>
      </c>
      <c r="F939" s="30" t="s">
        <v>1221</v>
      </c>
      <c r="G939" s="24" t="s">
        <v>1679</v>
      </c>
      <c r="H939" s="24" t="s">
        <v>1109</v>
      </c>
      <c r="I939" s="24" t="s">
        <v>1230</v>
      </c>
      <c r="K939" s="24" t="s">
        <v>1224</v>
      </c>
      <c r="L939" s="24" t="s">
        <v>1225</v>
      </c>
      <c r="M939" s="24" t="str">
        <f t="shared" si="14"/>
        <v>XWOFM105</v>
      </c>
    </row>
    <row r="940" spans="1:13" ht="11.4" customHeight="1">
      <c r="A940" s="24" t="s">
        <v>2113</v>
      </c>
      <c r="B940" s="24" t="s">
        <v>2092</v>
      </c>
      <c r="C940" s="24">
        <v>0.4</v>
      </c>
      <c r="D940" s="24">
        <v>1265</v>
      </c>
      <c r="E940" s="24">
        <v>2520</v>
      </c>
      <c r="F940" s="30" t="s">
        <v>1221</v>
      </c>
      <c r="G940" s="24" t="s">
        <v>1679</v>
      </c>
      <c r="H940" s="24" t="s">
        <v>1109</v>
      </c>
      <c r="I940" s="24" t="s">
        <v>1230</v>
      </c>
      <c r="K940" s="24" t="s">
        <v>1224</v>
      </c>
      <c r="L940" s="24" t="s">
        <v>1225</v>
      </c>
      <c r="M940" s="24" t="str">
        <f t="shared" si="14"/>
        <v>XWOFM105</v>
      </c>
    </row>
    <row r="941" spans="1:13" ht="11.4" customHeight="1">
      <c r="A941" s="24" t="s">
        <v>2114</v>
      </c>
      <c r="B941" s="24" t="s">
        <v>2092</v>
      </c>
      <c r="C941" s="24">
        <v>0.4</v>
      </c>
      <c r="D941" s="24">
        <v>1265</v>
      </c>
      <c r="E941" s="24">
        <v>2520</v>
      </c>
      <c r="F941" s="30" t="s">
        <v>1221</v>
      </c>
      <c r="G941" s="24" t="s">
        <v>1679</v>
      </c>
      <c r="H941" s="24" t="s">
        <v>1244</v>
      </c>
      <c r="I941" s="24" t="s">
        <v>1230</v>
      </c>
      <c r="K941" s="24" t="s">
        <v>1224</v>
      </c>
      <c r="L941" s="24" t="s">
        <v>1225</v>
      </c>
      <c r="M941" s="24" t="str">
        <f t="shared" si="14"/>
        <v>XWOFM201</v>
      </c>
    </row>
    <row r="942" spans="1:13" ht="11.4" customHeight="1">
      <c r="A942" s="24" t="s">
        <v>2115</v>
      </c>
      <c r="B942" s="24" t="s">
        <v>2092</v>
      </c>
      <c r="C942" s="24">
        <v>0.4</v>
      </c>
      <c r="D942" s="24">
        <v>1265</v>
      </c>
      <c r="E942" s="24">
        <v>2520</v>
      </c>
      <c r="F942" s="30" t="s">
        <v>1221</v>
      </c>
      <c r="G942" s="24" t="s">
        <v>1679</v>
      </c>
      <c r="H942" s="24" t="s">
        <v>1244</v>
      </c>
      <c r="I942" s="24" t="s">
        <v>1230</v>
      </c>
      <c r="K942" s="24" t="s">
        <v>1224</v>
      </c>
      <c r="L942" s="24" t="s">
        <v>1225</v>
      </c>
      <c r="M942" s="24" t="str">
        <f t="shared" si="14"/>
        <v>XWOFM201</v>
      </c>
    </row>
    <row r="943" spans="1:13" ht="11.4" customHeight="1">
      <c r="A943" s="24" t="s">
        <v>2116</v>
      </c>
      <c r="B943" s="24" t="s">
        <v>2092</v>
      </c>
      <c r="C943" s="24">
        <v>0.4</v>
      </c>
      <c r="D943" s="24">
        <v>1265</v>
      </c>
      <c r="E943" s="24">
        <v>3100</v>
      </c>
      <c r="F943" s="30" t="s">
        <v>1252</v>
      </c>
      <c r="G943" s="24" t="s">
        <v>1679</v>
      </c>
      <c r="H943" s="24" t="s">
        <v>49</v>
      </c>
      <c r="I943" s="24" t="s">
        <v>1232</v>
      </c>
      <c r="K943" s="24" t="s">
        <v>1224</v>
      </c>
      <c r="L943" s="24" t="s">
        <v>1225</v>
      </c>
      <c r="M943" s="24" t="str">
        <f t="shared" si="14"/>
        <v>XWOFSA23</v>
      </c>
    </row>
    <row r="944" spans="1:13" ht="11.4" customHeight="1">
      <c r="A944" s="24" t="s">
        <v>2117</v>
      </c>
      <c r="B944" s="24" t="s">
        <v>2092</v>
      </c>
      <c r="C944" s="24">
        <v>0.4</v>
      </c>
      <c r="D944" s="24">
        <v>1265</v>
      </c>
      <c r="E944" s="24">
        <v>3100</v>
      </c>
      <c r="F944" s="30" t="s">
        <v>1252</v>
      </c>
      <c r="G944" s="24" t="s">
        <v>1679</v>
      </c>
      <c r="H944" s="24" t="s">
        <v>49</v>
      </c>
      <c r="I944" s="24" t="s">
        <v>1232</v>
      </c>
      <c r="K944" s="24" t="s">
        <v>1224</v>
      </c>
      <c r="L944" s="24" t="s">
        <v>1225</v>
      </c>
      <c r="M944" s="24" t="str">
        <f t="shared" si="14"/>
        <v>XWOFSA23</v>
      </c>
    </row>
    <row r="945" spans="1:13" ht="11.4" customHeight="1">
      <c r="A945" s="24" t="s">
        <v>2118</v>
      </c>
      <c r="B945" s="24" t="s">
        <v>2092</v>
      </c>
      <c r="C945" s="24">
        <v>0.4</v>
      </c>
      <c r="D945" s="24">
        <v>1265</v>
      </c>
      <c r="E945" s="24">
        <v>3100</v>
      </c>
      <c r="F945" s="30" t="s">
        <v>1252</v>
      </c>
      <c r="G945" s="24" t="s">
        <v>1679</v>
      </c>
      <c r="H945" s="24" t="s">
        <v>1137</v>
      </c>
      <c r="I945" s="24" t="s">
        <v>1232</v>
      </c>
      <c r="K945" s="24" t="s">
        <v>1224</v>
      </c>
      <c r="L945" s="24" t="s">
        <v>1225</v>
      </c>
      <c r="M945" s="24" t="str">
        <f t="shared" si="14"/>
        <v>XWOFSB04</v>
      </c>
    </row>
    <row r="946" spans="1:13" ht="11.4" customHeight="1">
      <c r="A946" s="24" t="s">
        <v>2119</v>
      </c>
      <c r="B946" s="24" t="s">
        <v>2092</v>
      </c>
      <c r="C946" s="24">
        <v>0.4</v>
      </c>
      <c r="D946" s="24">
        <v>1265</v>
      </c>
      <c r="E946" s="24">
        <v>3100</v>
      </c>
      <c r="F946" s="30" t="s">
        <v>1252</v>
      </c>
      <c r="G946" s="24" t="s">
        <v>1679</v>
      </c>
      <c r="H946" s="24" t="s">
        <v>1137</v>
      </c>
      <c r="I946" s="24" t="s">
        <v>1232</v>
      </c>
      <c r="K946" s="24" t="s">
        <v>1224</v>
      </c>
      <c r="L946" s="24" t="s">
        <v>1225</v>
      </c>
      <c r="M946" s="24" t="str">
        <f t="shared" si="14"/>
        <v>XWOFSB04</v>
      </c>
    </row>
    <row r="947" spans="1:13" ht="11.4" customHeight="1">
      <c r="A947" s="24" t="s">
        <v>2120</v>
      </c>
      <c r="B947" s="24" t="s">
        <v>2092</v>
      </c>
      <c r="C947" s="24">
        <v>0.4</v>
      </c>
      <c r="D947" s="24">
        <v>1265</v>
      </c>
      <c r="E947" s="24">
        <v>3100</v>
      </c>
      <c r="F947" s="30" t="s">
        <v>1252</v>
      </c>
      <c r="G947" s="24" t="s">
        <v>1679</v>
      </c>
      <c r="H947" s="24" t="s">
        <v>1278</v>
      </c>
      <c r="I947" s="24" t="s">
        <v>1232</v>
      </c>
      <c r="K947" s="24" t="s">
        <v>1224</v>
      </c>
      <c r="L947" s="24" t="s">
        <v>1225</v>
      </c>
      <c r="M947" s="24" t="str">
        <f t="shared" si="14"/>
        <v>XWOFSC05</v>
      </c>
    </row>
    <row r="948" spans="1:13" ht="11.4" customHeight="1">
      <c r="A948" s="24" t="s">
        <v>2121</v>
      </c>
      <c r="B948" s="24" t="s">
        <v>2092</v>
      </c>
      <c r="C948" s="24">
        <v>0.4</v>
      </c>
      <c r="D948" s="24">
        <v>1265</v>
      </c>
      <c r="E948" s="24">
        <v>3100</v>
      </c>
      <c r="F948" s="30" t="s">
        <v>1252</v>
      </c>
      <c r="G948" s="24" t="s">
        <v>1679</v>
      </c>
      <c r="H948" s="24" t="s">
        <v>1278</v>
      </c>
      <c r="I948" s="24" t="s">
        <v>1232</v>
      </c>
      <c r="K948" s="24" t="s">
        <v>1224</v>
      </c>
      <c r="L948" s="24" t="s">
        <v>1225</v>
      </c>
      <c r="M948" s="24" t="str">
        <f t="shared" si="14"/>
        <v>XWOFSC05</v>
      </c>
    </row>
    <row r="949" spans="1:13" ht="11.4" customHeight="1">
      <c r="A949" s="24" t="s">
        <v>2122</v>
      </c>
      <c r="B949" s="24" t="s">
        <v>2092</v>
      </c>
      <c r="C949" s="24">
        <v>0.4</v>
      </c>
      <c r="D949" s="24">
        <v>1265</v>
      </c>
      <c r="E949" s="24">
        <v>3100</v>
      </c>
      <c r="F949" s="30" t="s">
        <v>1221</v>
      </c>
      <c r="G949" s="24" t="s">
        <v>1679</v>
      </c>
      <c r="H949" s="24" t="s">
        <v>1109</v>
      </c>
      <c r="I949" s="24" t="s">
        <v>1232</v>
      </c>
      <c r="K949" s="24" t="s">
        <v>1224</v>
      </c>
      <c r="L949" s="24" t="s">
        <v>1225</v>
      </c>
      <c r="M949" s="24" t="str">
        <f t="shared" si="14"/>
        <v>XWOFS104</v>
      </c>
    </row>
    <row r="950" spans="1:13" ht="11.4" customHeight="1">
      <c r="A950" s="24" t="s">
        <v>2123</v>
      </c>
      <c r="B950" s="24" t="s">
        <v>2092</v>
      </c>
      <c r="C950" s="24">
        <v>0.4</v>
      </c>
      <c r="D950" s="24">
        <v>1265</v>
      </c>
      <c r="E950" s="24">
        <v>3100</v>
      </c>
      <c r="F950" s="30" t="s">
        <v>1221</v>
      </c>
      <c r="G950" s="24" t="s">
        <v>1679</v>
      </c>
      <c r="H950" s="24" t="s">
        <v>1109</v>
      </c>
      <c r="I950" s="24" t="s">
        <v>1232</v>
      </c>
      <c r="K950" s="24" t="s">
        <v>1224</v>
      </c>
      <c r="L950" s="24" t="s">
        <v>1225</v>
      </c>
      <c r="M950" s="24" t="str">
        <f t="shared" si="14"/>
        <v>XWOFS104</v>
      </c>
    </row>
    <row r="951" spans="1:13" s="33" customFormat="1" ht="11.4" customHeight="1">
      <c r="A951" s="33" t="s">
        <v>2124</v>
      </c>
      <c r="B951" s="33" t="s">
        <v>2092</v>
      </c>
      <c r="C951" s="33">
        <v>0.4</v>
      </c>
      <c r="D951" s="33">
        <v>1265</v>
      </c>
      <c r="E951" s="33">
        <v>3100</v>
      </c>
      <c r="F951" s="34" t="s">
        <v>1221</v>
      </c>
      <c r="G951" s="33" t="s">
        <v>1679</v>
      </c>
      <c r="H951" s="33" t="s">
        <v>1244</v>
      </c>
      <c r="I951" s="33" t="s">
        <v>1230</v>
      </c>
      <c r="K951" s="33" t="s">
        <v>1224</v>
      </c>
      <c r="L951" s="33" t="s">
        <v>1225</v>
      </c>
      <c r="M951" s="33" t="str">
        <f t="shared" si="14"/>
        <v>XWOFM202</v>
      </c>
    </row>
    <row r="952" spans="1:13" s="33" customFormat="1" ht="11.4" customHeight="1">
      <c r="A952" s="33" t="s">
        <v>2125</v>
      </c>
      <c r="B952" s="33" t="s">
        <v>2092</v>
      </c>
      <c r="C952" s="33">
        <v>0.4</v>
      </c>
      <c r="D952" s="33">
        <v>1265</v>
      </c>
      <c r="E952" s="33">
        <v>3100</v>
      </c>
      <c r="F952" s="34" t="s">
        <v>1221</v>
      </c>
      <c r="G952" s="33" t="s">
        <v>1679</v>
      </c>
      <c r="H952" s="33" t="s">
        <v>1244</v>
      </c>
      <c r="I952" s="33" t="s">
        <v>1230</v>
      </c>
      <c r="K952" s="33" t="s">
        <v>1224</v>
      </c>
      <c r="L952" s="33" t="s">
        <v>1225</v>
      </c>
      <c r="M952" s="33" t="str">
        <f t="shared" si="14"/>
        <v>XWOFM202</v>
      </c>
    </row>
    <row r="953" spans="1:13" s="33" customFormat="1" ht="11.4" customHeight="1">
      <c r="A953" s="33" t="s">
        <v>2126</v>
      </c>
      <c r="B953" s="33" t="s">
        <v>2092</v>
      </c>
      <c r="C953" s="33">
        <v>0.4</v>
      </c>
      <c r="D953" s="33">
        <v>965</v>
      </c>
      <c r="E953" s="33">
        <v>2520</v>
      </c>
      <c r="F953" s="34" t="s">
        <v>1252</v>
      </c>
      <c r="G953" s="33" t="s">
        <v>1679</v>
      </c>
      <c r="H953" s="33" t="s">
        <v>1380</v>
      </c>
      <c r="I953" s="33" t="s">
        <v>1223</v>
      </c>
      <c r="K953" s="33" t="s">
        <v>1224</v>
      </c>
      <c r="L953" s="33" t="s">
        <v>1339</v>
      </c>
      <c r="M953" s="33" t="str">
        <f t="shared" si="14"/>
        <v>XWOFBA21</v>
      </c>
    </row>
    <row r="954" spans="1:13" s="33" customFormat="1" ht="11.4" customHeight="1">
      <c r="A954" s="33" t="s">
        <v>2127</v>
      </c>
      <c r="B954" s="33" t="s">
        <v>2092</v>
      </c>
      <c r="C954" s="33">
        <v>0.4</v>
      </c>
      <c r="D954" s="33">
        <v>965</v>
      </c>
      <c r="E954" s="33">
        <v>2520</v>
      </c>
      <c r="F954" s="34" t="s">
        <v>1252</v>
      </c>
      <c r="G954" s="33" t="s">
        <v>1679</v>
      </c>
      <c r="H954" s="33" t="s">
        <v>1380</v>
      </c>
      <c r="I954" s="33" t="s">
        <v>1223</v>
      </c>
      <c r="K954" s="33" t="s">
        <v>1224</v>
      </c>
      <c r="L954" s="33" t="s">
        <v>1339</v>
      </c>
      <c r="M954" s="33" t="str">
        <f t="shared" si="14"/>
        <v>XWOFBA21</v>
      </c>
    </row>
    <row r="955" spans="1:13" ht="11.4" customHeight="1">
      <c r="A955" s="24" t="s">
        <v>2128</v>
      </c>
      <c r="B955" s="24" t="s">
        <v>2092</v>
      </c>
      <c r="C955" s="24">
        <v>0.4</v>
      </c>
      <c r="D955" s="24">
        <v>1265</v>
      </c>
      <c r="E955" s="24">
        <v>2520</v>
      </c>
      <c r="F955" s="30" t="s">
        <v>1252</v>
      </c>
      <c r="G955" s="24" t="s">
        <v>1222</v>
      </c>
      <c r="H955" s="24" t="s">
        <v>1137</v>
      </c>
      <c r="I955" s="24" t="s">
        <v>1223</v>
      </c>
      <c r="K955" s="24" t="s">
        <v>1224</v>
      </c>
      <c r="L955" s="24" t="s">
        <v>1225</v>
      </c>
      <c r="M955" s="24" t="str">
        <f t="shared" si="14"/>
        <v>XWOPBB04</v>
      </c>
    </row>
    <row r="956" spans="1:13" ht="11.4" customHeight="1">
      <c r="A956" s="24" t="s">
        <v>2129</v>
      </c>
      <c r="B956" s="24" t="s">
        <v>2092</v>
      </c>
      <c r="C956" s="24">
        <v>0.4</v>
      </c>
      <c r="D956" s="24">
        <v>1265</v>
      </c>
      <c r="E956" s="24">
        <v>2520</v>
      </c>
      <c r="F956" s="30" t="s">
        <v>1252</v>
      </c>
      <c r="G956" s="24" t="s">
        <v>1222</v>
      </c>
      <c r="H956" s="24" t="s">
        <v>1137</v>
      </c>
      <c r="I956" s="24" t="s">
        <v>1223</v>
      </c>
      <c r="K956" s="24" t="s">
        <v>1224</v>
      </c>
      <c r="L956" s="24" t="s">
        <v>1225</v>
      </c>
      <c r="M956" s="24" t="str">
        <f t="shared" si="14"/>
        <v>XWOPBB04</v>
      </c>
    </row>
    <row r="957" spans="1:13" ht="11.4" customHeight="1">
      <c r="A957" s="24" t="s">
        <v>2130</v>
      </c>
      <c r="B957" s="24" t="s">
        <v>2092</v>
      </c>
      <c r="C957" s="24">
        <v>0.4</v>
      </c>
      <c r="D957" s="24">
        <v>1265</v>
      </c>
      <c r="E957" s="24">
        <v>2520</v>
      </c>
      <c r="F957" s="30" t="s">
        <v>1221</v>
      </c>
      <c r="G957" s="24" t="s">
        <v>1222</v>
      </c>
      <c r="H957" s="24" t="s">
        <v>1109</v>
      </c>
      <c r="I957" s="24" t="s">
        <v>1230</v>
      </c>
      <c r="K957" s="24" t="s">
        <v>1224</v>
      </c>
      <c r="L957" s="24" t="s">
        <v>1225</v>
      </c>
      <c r="M957" s="24" t="str">
        <f t="shared" si="14"/>
        <v>XWOPM104</v>
      </c>
    </row>
    <row r="958" spans="1:13" ht="11.4" customHeight="1">
      <c r="A958" s="24" t="s">
        <v>2131</v>
      </c>
      <c r="B958" s="24" t="s">
        <v>2092</v>
      </c>
      <c r="C958" s="24">
        <v>0.4</v>
      </c>
      <c r="D958" s="24">
        <v>1265</v>
      </c>
      <c r="E958" s="24">
        <v>2520</v>
      </c>
      <c r="F958" s="30" t="s">
        <v>1221</v>
      </c>
      <c r="G958" s="24" t="s">
        <v>1222</v>
      </c>
      <c r="H958" s="24" t="s">
        <v>1109</v>
      </c>
      <c r="I958" s="24" t="s">
        <v>1230</v>
      </c>
      <c r="K958" s="24" t="s">
        <v>1224</v>
      </c>
      <c r="L958" s="24" t="s">
        <v>1225</v>
      </c>
      <c r="M958" s="24" t="str">
        <f t="shared" si="14"/>
        <v>XWOPM104</v>
      </c>
    </row>
    <row r="959" spans="1:13" ht="11.4" customHeight="1">
      <c r="A959" s="24" t="s">
        <v>2132</v>
      </c>
      <c r="B959" s="24" t="s">
        <v>2092</v>
      </c>
      <c r="C959" s="24">
        <v>0.4</v>
      </c>
      <c r="D959" s="24">
        <v>1265</v>
      </c>
      <c r="E959" s="24">
        <v>3100</v>
      </c>
      <c r="F959" s="30" t="s">
        <v>1221</v>
      </c>
      <c r="G959" s="24" t="s">
        <v>1222</v>
      </c>
      <c r="H959" s="24" t="s">
        <v>1109</v>
      </c>
      <c r="I959" s="24" t="s">
        <v>1223</v>
      </c>
      <c r="K959" s="24" t="s">
        <v>1224</v>
      </c>
      <c r="L959" s="24" t="s">
        <v>1225</v>
      </c>
      <c r="M959" s="24" t="str">
        <f t="shared" si="14"/>
        <v>XWOPB103</v>
      </c>
    </row>
    <row r="960" spans="1:13" ht="11.4" customHeight="1">
      <c r="A960" s="24" t="s">
        <v>2133</v>
      </c>
      <c r="B960" s="24" t="s">
        <v>2092</v>
      </c>
      <c r="C960" s="24">
        <v>0.4</v>
      </c>
      <c r="D960" s="24">
        <v>1265</v>
      </c>
      <c r="E960" s="24">
        <v>3100</v>
      </c>
      <c r="F960" s="30" t="s">
        <v>1221</v>
      </c>
      <c r="G960" s="24" t="s">
        <v>1222</v>
      </c>
      <c r="H960" s="24" t="s">
        <v>1109</v>
      </c>
      <c r="I960" s="24" t="s">
        <v>1223</v>
      </c>
      <c r="K960" s="24" t="s">
        <v>1224</v>
      </c>
      <c r="L960" s="24" t="s">
        <v>1225</v>
      </c>
      <c r="M960" s="24" t="str">
        <f t="shared" si="14"/>
        <v>XWOPB103</v>
      </c>
    </row>
    <row r="961" spans="1:13" ht="11.4" customHeight="1">
      <c r="A961" s="24" t="s">
        <v>2134</v>
      </c>
      <c r="B961" s="24" t="s">
        <v>2092</v>
      </c>
      <c r="C961" s="24">
        <v>0.4</v>
      </c>
      <c r="D961" s="24">
        <v>1265</v>
      </c>
      <c r="E961" s="24">
        <v>3100</v>
      </c>
      <c r="F961" s="30" t="s">
        <v>1252</v>
      </c>
      <c r="G961" s="24" t="s">
        <v>1222</v>
      </c>
      <c r="H961" s="24" t="s">
        <v>49</v>
      </c>
      <c r="I961" s="24" t="s">
        <v>1223</v>
      </c>
      <c r="K961" s="24" t="s">
        <v>1224</v>
      </c>
      <c r="L961" s="24" t="s">
        <v>1225</v>
      </c>
      <c r="M961" s="24" t="str">
        <f t="shared" si="14"/>
        <v>XWOPBA17</v>
      </c>
    </row>
    <row r="962" spans="1:13" ht="11.4" customHeight="1">
      <c r="A962" s="24" t="s">
        <v>2135</v>
      </c>
      <c r="B962" s="24" t="s">
        <v>2092</v>
      </c>
      <c r="C962" s="24">
        <v>0.4</v>
      </c>
      <c r="D962" s="24">
        <v>1265</v>
      </c>
      <c r="E962" s="24">
        <v>3100</v>
      </c>
      <c r="F962" s="30" t="s">
        <v>1252</v>
      </c>
      <c r="G962" s="24" t="s">
        <v>1222</v>
      </c>
      <c r="H962" s="24" t="s">
        <v>49</v>
      </c>
      <c r="I962" s="24" t="s">
        <v>1223</v>
      </c>
      <c r="K962" s="24" t="s">
        <v>1224</v>
      </c>
      <c r="L962" s="24" t="s">
        <v>1225</v>
      </c>
      <c r="M962" s="24" t="str">
        <f t="shared" ref="M962:M1027" si="15">RIGHT(A962,8)</f>
        <v>XWOPBA17</v>
      </c>
    </row>
    <row r="963" spans="1:13" ht="11.4" customHeight="1">
      <c r="A963" s="24" t="s">
        <v>2136</v>
      </c>
      <c r="B963" s="24" t="s">
        <v>2092</v>
      </c>
      <c r="C963" s="24">
        <v>0.4</v>
      </c>
      <c r="D963" s="24">
        <v>1265</v>
      </c>
      <c r="E963" s="24">
        <v>3100</v>
      </c>
      <c r="F963" s="30" t="s">
        <v>1252</v>
      </c>
      <c r="G963" s="24" t="s">
        <v>1222</v>
      </c>
      <c r="H963" s="24" t="s">
        <v>1137</v>
      </c>
      <c r="I963" s="24" t="s">
        <v>1223</v>
      </c>
      <c r="K963" s="24" t="s">
        <v>1224</v>
      </c>
      <c r="L963" s="24" t="s">
        <v>1225</v>
      </c>
      <c r="M963" s="24" t="str">
        <f t="shared" si="15"/>
        <v>XWOPBB05</v>
      </c>
    </row>
    <row r="964" spans="1:13" ht="11.4" customHeight="1">
      <c r="A964" s="24" t="s">
        <v>2137</v>
      </c>
      <c r="B964" s="24" t="s">
        <v>2092</v>
      </c>
      <c r="C964" s="24">
        <v>0.4</v>
      </c>
      <c r="D964" s="24">
        <v>1265</v>
      </c>
      <c r="E964" s="24">
        <v>3100</v>
      </c>
      <c r="F964" s="30" t="s">
        <v>1252</v>
      </c>
      <c r="G964" s="24" t="s">
        <v>1222</v>
      </c>
      <c r="H964" s="24" t="s">
        <v>1137</v>
      </c>
      <c r="I964" s="24" t="s">
        <v>1223</v>
      </c>
      <c r="K964" s="24" t="s">
        <v>1224</v>
      </c>
      <c r="L964" s="24" t="s">
        <v>1225</v>
      </c>
      <c r="M964" s="24" t="str">
        <f t="shared" si="15"/>
        <v>XWOPBB05</v>
      </c>
    </row>
    <row r="965" spans="1:13" ht="11.4" customHeight="1">
      <c r="A965" s="24" t="s">
        <v>2138</v>
      </c>
      <c r="B965" s="24" t="s">
        <v>2092</v>
      </c>
      <c r="C965" s="24">
        <v>0.5</v>
      </c>
      <c r="D965" s="24">
        <v>1265</v>
      </c>
      <c r="E965" s="24">
        <v>2520</v>
      </c>
      <c r="F965" s="30" t="s">
        <v>1221</v>
      </c>
      <c r="G965" s="24" t="s">
        <v>1222</v>
      </c>
      <c r="H965" s="24" t="s">
        <v>1109</v>
      </c>
      <c r="I965" s="24" t="s">
        <v>1223</v>
      </c>
      <c r="K965" s="24" t="s">
        <v>1224</v>
      </c>
      <c r="L965" s="24" t="s">
        <v>1225</v>
      </c>
      <c r="M965" s="24" t="str">
        <f t="shared" si="15"/>
        <v>XWOPB101</v>
      </c>
    </row>
    <row r="966" spans="1:13" ht="11.4" customHeight="1">
      <c r="A966" s="24" t="s">
        <v>2139</v>
      </c>
      <c r="B966" s="24" t="s">
        <v>2092</v>
      </c>
      <c r="C966" s="24">
        <v>0.5</v>
      </c>
      <c r="D966" s="24">
        <v>1265</v>
      </c>
      <c r="E966" s="24">
        <v>2520</v>
      </c>
      <c r="F966" s="30" t="s">
        <v>1221</v>
      </c>
      <c r="G966" s="24" t="s">
        <v>1222</v>
      </c>
      <c r="H966" s="24" t="s">
        <v>1109</v>
      </c>
      <c r="I966" s="24" t="s">
        <v>1223</v>
      </c>
      <c r="K966" s="24" t="s">
        <v>1224</v>
      </c>
      <c r="L966" s="24" t="s">
        <v>1225</v>
      </c>
      <c r="M966" s="24" t="str">
        <f t="shared" si="15"/>
        <v>XWOPB101</v>
      </c>
    </row>
    <row r="967" spans="1:13" ht="11.4" customHeight="1">
      <c r="A967" s="24" t="s">
        <v>2140</v>
      </c>
      <c r="B967" s="24" t="s">
        <v>2092</v>
      </c>
      <c r="C967" s="24">
        <v>0.5</v>
      </c>
      <c r="D967" s="24">
        <v>1265</v>
      </c>
      <c r="E967" s="24">
        <v>3100</v>
      </c>
      <c r="F967" s="30" t="s">
        <v>1221</v>
      </c>
      <c r="G967" s="24" t="s">
        <v>1222</v>
      </c>
      <c r="H967" s="24" t="s">
        <v>1109</v>
      </c>
      <c r="I967" s="24" t="s">
        <v>1223</v>
      </c>
      <c r="K967" s="24" t="s">
        <v>1224</v>
      </c>
      <c r="L967" s="24" t="s">
        <v>1225</v>
      </c>
      <c r="M967" s="24" t="str">
        <f t="shared" si="15"/>
        <v>XWOPB102</v>
      </c>
    </row>
    <row r="968" spans="1:13" ht="11.4" customHeight="1">
      <c r="A968" s="24" t="s">
        <v>2141</v>
      </c>
      <c r="B968" s="24" t="s">
        <v>2092</v>
      </c>
      <c r="C968" s="24">
        <v>0.5</v>
      </c>
      <c r="D968" s="24">
        <v>1265</v>
      </c>
      <c r="E968" s="24">
        <v>3100</v>
      </c>
      <c r="F968" s="30" t="s">
        <v>1221</v>
      </c>
      <c r="G968" s="24" t="s">
        <v>1222</v>
      </c>
      <c r="H968" s="24" t="s">
        <v>1109</v>
      </c>
      <c r="I968" s="24" t="s">
        <v>1223</v>
      </c>
      <c r="K968" s="24" t="s">
        <v>1224</v>
      </c>
      <c r="L968" s="24" t="s">
        <v>1225</v>
      </c>
      <c r="M968" s="24" t="str">
        <f t="shared" si="15"/>
        <v>XWOPB102</v>
      </c>
    </row>
    <row r="969" spans="1:13" ht="11.4" customHeight="1">
      <c r="A969" s="24" t="s">
        <v>1206</v>
      </c>
      <c r="B969" s="24" t="s">
        <v>2092</v>
      </c>
      <c r="C969" s="24">
        <v>0.5</v>
      </c>
      <c r="D969" s="24">
        <v>1265</v>
      </c>
      <c r="E969" s="24">
        <v>2520</v>
      </c>
      <c r="F969" s="30" t="s">
        <v>1221</v>
      </c>
      <c r="G969" s="24" t="s">
        <v>1222</v>
      </c>
      <c r="H969" s="24" t="s">
        <v>1109</v>
      </c>
      <c r="I969" s="24" t="s">
        <v>1230</v>
      </c>
      <c r="K969" s="24" t="s">
        <v>1224</v>
      </c>
      <c r="L969" s="24" t="s">
        <v>1225</v>
      </c>
      <c r="M969" s="24" t="str">
        <f t="shared" si="15"/>
        <v>XWOPM101</v>
      </c>
    </row>
    <row r="970" spans="1:13" ht="11.4" customHeight="1">
      <c r="A970" s="24" t="s">
        <v>576</v>
      </c>
      <c r="B970" s="24" t="s">
        <v>2092</v>
      </c>
      <c r="C970" s="24">
        <v>0.5</v>
      </c>
      <c r="D970" s="24">
        <v>1265</v>
      </c>
      <c r="E970" s="24">
        <v>2520</v>
      </c>
      <c r="F970" s="30" t="s">
        <v>1221</v>
      </c>
      <c r="G970" s="24" t="s">
        <v>1222</v>
      </c>
      <c r="H970" s="24" t="s">
        <v>1109</v>
      </c>
      <c r="I970" s="24" t="s">
        <v>1230</v>
      </c>
      <c r="K970" s="24" t="s">
        <v>1224</v>
      </c>
      <c r="L970" s="24" t="s">
        <v>1225</v>
      </c>
      <c r="M970" s="24" t="str">
        <f t="shared" si="15"/>
        <v>XWOPM101</v>
      </c>
    </row>
    <row r="971" spans="1:13" ht="11.4" customHeight="1">
      <c r="A971" s="24" t="s">
        <v>2142</v>
      </c>
      <c r="B971" s="24" t="s">
        <v>2092</v>
      </c>
      <c r="C971" s="24">
        <v>0.5</v>
      </c>
      <c r="D971" s="24">
        <v>1265</v>
      </c>
      <c r="E971" s="24">
        <v>3100</v>
      </c>
      <c r="F971" s="30" t="s">
        <v>1221</v>
      </c>
      <c r="G971" s="24" t="s">
        <v>1222</v>
      </c>
      <c r="H971" s="24" t="s">
        <v>1109</v>
      </c>
      <c r="I971" s="24" t="s">
        <v>1230</v>
      </c>
      <c r="K971" s="24" t="s">
        <v>1224</v>
      </c>
      <c r="L971" s="24" t="s">
        <v>1225</v>
      </c>
      <c r="M971" s="24" t="str">
        <f t="shared" si="15"/>
        <v>XWOPM103</v>
      </c>
    </row>
    <row r="972" spans="1:13" ht="11.4" customHeight="1">
      <c r="A972" s="24" t="s">
        <v>2143</v>
      </c>
      <c r="B972" s="24" t="s">
        <v>2092</v>
      </c>
      <c r="C972" s="24">
        <v>0.5</v>
      </c>
      <c r="D972" s="24">
        <v>1265</v>
      </c>
      <c r="E972" s="24">
        <v>3100</v>
      </c>
      <c r="F972" s="30" t="s">
        <v>1221</v>
      </c>
      <c r="G972" s="24" t="s">
        <v>1222</v>
      </c>
      <c r="H972" s="24" t="s">
        <v>1109</v>
      </c>
      <c r="I972" s="24" t="s">
        <v>1230</v>
      </c>
      <c r="K972" s="24" t="s">
        <v>1224</v>
      </c>
      <c r="L972" s="24" t="s">
        <v>1225</v>
      </c>
      <c r="M972" s="24" t="str">
        <f t="shared" si="15"/>
        <v>XWOPM103</v>
      </c>
    </row>
    <row r="973" spans="1:13" ht="11.4" customHeight="1">
      <c r="A973" s="24" t="s">
        <v>2144</v>
      </c>
      <c r="B973" s="24" t="s">
        <v>2092</v>
      </c>
      <c r="C973" s="24">
        <v>0.5</v>
      </c>
      <c r="D973" s="24">
        <v>1265</v>
      </c>
      <c r="E973" s="24">
        <v>3300</v>
      </c>
      <c r="F973" s="30" t="s">
        <v>1221</v>
      </c>
      <c r="G973" s="24" t="s">
        <v>1222</v>
      </c>
      <c r="H973" s="24" t="s">
        <v>1109</v>
      </c>
      <c r="I973" s="24" t="s">
        <v>1230</v>
      </c>
      <c r="K973" s="24" t="s">
        <v>1224</v>
      </c>
      <c r="L973" s="24" t="s">
        <v>1225</v>
      </c>
      <c r="M973" s="24" t="str">
        <f t="shared" si="15"/>
        <v>XWOPM102</v>
      </c>
    </row>
    <row r="974" spans="1:13" ht="11.4" customHeight="1">
      <c r="A974" s="24" t="s">
        <v>2145</v>
      </c>
      <c r="B974" s="24" t="s">
        <v>2092</v>
      </c>
      <c r="C974" s="24">
        <v>0.5</v>
      </c>
      <c r="D974" s="24">
        <v>1265</v>
      </c>
      <c r="E974" s="24">
        <v>3300</v>
      </c>
      <c r="F974" s="24" t="s">
        <v>1221</v>
      </c>
      <c r="G974" s="24" t="s">
        <v>1222</v>
      </c>
      <c r="H974" s="24" t="s">
        <v>1109</v>
      </c>
      <c r="I974" s="24" t="s">
        <v>1230</v>
      </c>
      <c r="K974" s="24" t="s">
        <v>1224</v>
      </c>
      <c r="L974" s="24" t="s">
        <v>1225</v>
      </c>
      <c r="M974" s="24" t="str">
        <f t="shared" si="15"/>
        <v>XWOPM102</v>
      </c>
    </row>
    <row r="975" spans="1:13" ht="11.4" customHeight="1">
      <c r="A975" s="24" t="s">
        <v>2146</v>
      </c>
      <c r="B975" s="24" t="s">
        <v>2092</v>
      </c>
      <c r="C975" s="24">
        <v>0.5</v>
      </c>
      <c r="D975" s="24">
        <v>1265</v>
      </c>
      <c r="E975" s="24">
        <v>2520</v>
      </c>
      <c r="F975" s="30" t="s">
        <v>1221</v>
      </c>
      <c r="G975" s="24" t="s">
        <v>1222</v>
      </c>
      <c r="H975" s="24" t="s">
        <v>1109</v>
      </c>
      <c r="I975" s="24" t="s">
        <v>1237</v>
      </c>
      <c r="K975" s="24" t="s">
        <v>1224</v>
      </c>
      <c r="L975" s="24" t="s">
        <v>1225</v>
      </c>
      <c r="M975" s="24" t="str">
        <f t="shared" si="15"/>
        <v>XWOPP101</v>
      </c>
    </row>
    <row r="976" spans="1:13" ht="11.4" customHeight="1">
      <c r="A976" s="24" t="s">
        <v>2147</v>
      </c>
      <c r="B976" s="24" t="s">
        <v>2092</v>
      </c>
      <c r="C976" s="24">
        <v>0.5</v>
      </c>
      <c r="D976" s="24">
        <v>1265</v>
      </c>
      <c r="E976" s="24">
        <v>2520</v>
      </c>
      <c r="F976" s="30" t="s">
        <v>1221</v>
      </c>
      <c r="G976" s="24" t="s">
        <v>1222</v>
      </c>
      <c r="H976" s="24" t="s">
        <v>1109</v>
      </c>
      <c r="I976" s="24" t="s">
        <v>1237</v>
      </c>
      <c r="K976" s="24" t="s">
        <v>1224</v>
      </c>
      <c r="L976" s="24" t="s">
        <v>1225</v>
      </c>
      <c r="M976" s="24" t="str">
        <f t="shared" si="15"/>
        <v>XWOPP101</v>
      </c>
    </row>
    <row r="977" spans="1:13" ht="11.4" customHeight="1">
      <c r="A977" s="24" t="s">
        <v>2148</v>
      </c>
      <c r="B977" s="24" t="s">
        <v>2092</v>
      </c>
      <c r="C977" s="24">
        <v>0.5</v>
      </c>
      <c r="D977" s="24">
        <v>1265</v>
      </c>
      <c r="E977" s="24">
        <v>2520</v>
      </c>
      <c r="F977" s="30" t="s">
        <v>1601</v>
      </c>
      <c r="G977" s="24" t="s">
        <v>1222</v>
      </c>
      <c r="H977" s="24" t="s">
        <v>1244</v>
      </c>
      <c r="I977" s="24" t="s">
        <v>1223</v>
      </c>
      <c r="J977" s="24" t="s">
        <v>1122</v>
      </c>
      <c r="K977" s="24" t="s">
        <v>1224</v>
      </c>
      <c r="L977" s="24" t="s">
        <v>1225</v>
      </c>
      <c r="M977" s="24" t="str">
        <f t="shared" si="15"/>
        <v>XWOPB202</v>
      </c>
    </row>
    <row r="978" spans="1:13" ht="11.4" customHeight="1">
      <c r="A978" s="24" t="s">
        <v>2149</v>
      </c>
      <c r="B978" s="24" t="s">
        <v>2092</v>
      </c>
      <c r="C978" s="24">
        <v>0.5</v>
      </c>
      <c r="D978" s="24">
        <v>1265</v>
      </c>
      <c r="E978" s="24">
        <v>2520</v>
      </c>
      <c r="F978" s="30" t="s">
        <v>1601</v>
      </c>
      <c r="G978" s="24" t="s">
        <v>1222</v>
      </c>
      <c r="H978" s="24" t="s">
        <v>1244</v>
      </c>
      <c r="I978" s="24" t="s">
        <v>1223</v>
      </c>
      <c r="J978" s="24" t="s">
        <v>1122</v>
      </c>
      <c r="K978" s="24" t="s">
        <v>1224</v>
      </c>
      <c r="L978" s="24" t="s">
        <v>1225</v>
      </c>
      <c r="M978" s="24" t="str">
        <f t="shared" si="15"/>
        <v>XWOPB202</v>
      </c>
    </row>
    <row r="979" spans="1:13" ht="11.4" customHeight="1">
      <c r="A979" s="24" t="s">
        <v>2150</v>
      </c>
      <c r="B979" s="24" t="s">
        <v>2092</v>
      </c>
      <c r="C979" s="24">
        <v>0.5</v>
      </c>
      <c r="D979" s="24">
        <v>1265</v>
      </c>
      <c r="E979" s="24">
        <v>3100</v>
      </c>
      <c r="F979" s="30" t="s">
        <v>1601</v>
      </c>
      <c r="G979" s="24" t="s">
        <v>1222</v>
      </c>
      <c r="H979" s="24" t="s">
        <v>1244</v>
      </c>
      <c r="I979" s="24" t="s">
        <v>1223</v>
      </c>
      <c r="J979" s="24" t="s">
        <v>1122</v>
      </c>
      <c r="K979" s="24" t="s">
        <v>1224</v>
      </c>
      <c r="L979" s="24" t="s">
        <v>1225</v>
      </c>
      <c r="M979" s="24" t="str">
        <f t="shared" si="15"/>
        <v>XWOPB203</v>
      </c>
    </row>
    <row r="980" spans="1:13" ht="11.4" customHeight="1">
      <c r="A980" s="24" t="s">
        <v>2151</v>
      </c>
      <c r="B980" s="24" t="s">
        <v>2092</v>
      </c>
      <c r="C980" s="24">
        <v>0.5</v>
      </c>
      <c r="D980" s="24">
        <v>1265</v>
      </c>
      <c r="E980" s="24">
        <v>3100</v>
      </c>
      <c r="F980" s="30" t="s">
        <v>1601</v>
      </c>
      <c r="G980" s="24" t="s">
        <v>1222</v>
      </c>
      <c r="H980" s="24" t="s">
        <v>1244</v>
      </c>
      <c r="I980" s="24" t="s">
        <v>1223</v>
      </c>
      <c r="J980" s="24" t="s">
        <v>1122</v>
      </c>
      <c r="K980" s="24" t="s">
        <v>1224</v>
      </c>
      <c r="L980" s="24" t="s">
        <v>1225</v>
      </c>
      <c r="M980" s="24" t="str">
        <f t="shared" si="15"/>
        <v>XWOPB203</v>
      </c>
    </row>
    <row r="981" spans="1:13" ht="11.4" customHeight="1">
      <c r="A981" s="24" t="s">
        <v>1207</v>
      </c>
      <c r="B981" s="24" t="s">
        <v>2092</v>
      </c>
      <c r="C981" s="24">
        <v>0.5</v>
      </c>
      <c r="D981" s="24">
        <v>1265</v>
      </c>
      <c r="E981" s="24">
        <v>2520</v>
      </c>
      <c r="F981" s="30" t="s">
        <v>1221</v>
      </c>
      <c r="G981" s="24" t="s">
        <v>1222</v>
      </c>
      <c r="H981" s="24" t="s">
        <v>1244</v>
      </c>
      <c r="I981" s="24" t="s">
        <v>1230</v>
      </c>
      <c r="K981" s="24" t="s">
        <v>1224</v>
      </c>
      <c r="L981" s="24" t="s">
        <v>1225</v>
      </c>
      <c r="M981" s="24" t="str">
        <f t="shared" si="15"/>
        <v>XWOPM201</v>
      </c>
    </row>
    <row r="982" spans="1:13" ht="11.4" customHeight="1">
      <c r="A982" s="24" t="s">
        <v>693</v>
      </c>
      <c r="B982" s="24" t="s">
        <v>2092</v>
      </c>
      <c r="C982" s="24">
        <v>0.5</v>
      </c>
      <c r="D982" s="24">
        <v>1265</v>
      </c>
      <c r="E982" s="24">
        <v>2520</v>
      </c>
      <c r="F982" s="30" t="s">
        <v>1221</v>
      </c>
      <c r="G982" s="24" t="s">
        <v>1222</v>
      </c>
      <c r="H982" s="24" t="s">
        <v>1244</v>
      </c>
      <c r="I982" s="24" t="s">
        <v>1230</v>
      </c>
      <c r="K982" s="24" t="s">
        <v>1224</v>
      </c>
      <c r="L982" s="24" t="s">
        <v>1225</v>
      </c>
      <c r="M982" s="24" t="str">
        <f t="shared" si="15"/>
        <v>XWOPM201</v>
      </c>
    </row>
    <row r="983" spans="1:13" ht="11.4" customHeight="1">
      <c r="A983" s="24" t="s">
        <v>2152</v>
      </c>
      <c r="B983" s="24" t="s">
        <v>2092</v>
      </c>
      <c r="C983" s="24">
        <v>0.5</v>
      </c>
      <c r="D983" s="24">
        <v>50</v>
      </c>
      <c r="E983" s="24">
        <v>99</v>
      </c>
      <c r="F983" s="24">
        <v>0</v>
      </c>
      <c r="G983" s="24" t="s">
        <v>1222</v>
      </c>
      <c r="H983" s="24" t="s">
        <v>1614</v>
      </c>
      <c r="I983" s="24" t="s">
        <v>1240</v>
      </c>
      <c r="K983" s="24" t="s">
        <v>1224</v>
      </c>
      <c r="L983" s="24" t="s">
        <v>1615</v>
      </c>
      <c r="M983" s="24" t="str">
        <f t="shared" si="15"/>
        <v>KWOPZ201</v>
      </c>
    </row>
    <row r="984" spans="1:13" ht="11.4" customHeight="1">
      <c r="A984" s="24" t="s">
        <v>2153</v>
      </c>
      <c r="B984" s="24" t="s">
        <v>2092</v>
      </c>
      <c r="C984" s="24">
        <v>0.5</v>
      </c>
      <c r="D984" s="24">
        <v>50</v>
      </c>
      <c r="E984" s="24">
        <v>99</v>
      </c>
      <c r="F984" s="30">
        <v>0</v>
      </c>
      <c r="G984" s="24" t="s">
        <v>1222</v>
      </c>
      <c r="H984" s="24" t="s">
        <v>1614</v>
      </c>
      <c r="I984" s="24" t="s">
        <v>1240</v>
      </c>
      <c r="K984" s="24" t="s">
        <v>1224</v>
      </c>
      <c r="L984" s="24" t="s">
        <v>1615</v>
      </c>
      <c r="M984" s="24" t="str">
        <f t="shared" si="15"/>
        <v>KWOPZ201</v>
      </c>
    </row>
    <row r="985" spans="1:13" ht="11.4" customHeight="1">
      <c r="A985" s="24" t="s">
        <v>2154</v>
      </c>
      <c r="B985" s="24" t="s">
        <v>2092</v>
      </c>
      <c r="C985" s="24">
        <v>0.5</v>
      </c>
      <c r="D985" s="24">
        <v>1265</v>
      </c>
      <c r="E985" s="24">
        <v>2520</v>
      </c>
      <c r="F985" s="30" t="s">
        <v>1221</v>
      </c>
      <c r="G985" s="24" t="s">
        <v>1222</v>
      </c>
      <c r="H985" s="24" t="s">
        <v>1250</v>
      </c>
      <c r="I985" s="24" t="s">
        <v>1230</v>
      </c>
      <c r="K985" s="24" t="s">
        <v>1224</v>
      </c>
      <c r="L985" s="24" t="s">
        <v>1225</v>
      </c>
      <c r="M985" s="24" t="str">
        <f t="shared" si="15"/>
        <v>XWOPM401</v>
      </c>
    </row>
    <row r="986" spans="1:13" ht="11.4" customHeight="1">
      <c r="A986" s="24" t="s">
        <v>2155</v>
      </c>
      <c r="B986" s="24" t="s">
        <v>2092</v>
      </c>
      <c r="C986" s="24">
        <v>0.5</v>
      </c>
      <c r="D986" s="24">
        <v>1265</v>
      </c>
      <c r="E986" s="24">
        <v>2520</v>
      </c>
      <c r="F986" s="30" t="s">
        <v>1221</v>
      </c>
      <c r="G986" s="24" t="s">
        <v>1222</v>
      </c>
      <c r="H986" s="24" t="s">
        <v>1250</v>
      </c>
      <c r="I986" s="24" t="s">
        <v>1230</v>
      </c>
      <c r="K986" s="24" t="s">
        <v>1224</v>
      </c>
      <c r="L986" s="24" t="s">
        <v>1225</v>
      </c>
      <c r="M986" s="24" t="str">
        <f t="shared" si="15"/>
        <v>XWOPM401</v>
      </c>
    </row>
    <row r="987" spans="1:13" ht="11.4" customHeight="1">
      <c r="A987" s="24" t="s">
        <v>2156</v>
      </c>
      <c r="B987" s="24" t="s">
        <v>2092</v>
      </c>
      <c r="C987" s="24">
        <v>0.5</v>
      </c>
      <c r="D987" s="24">
        <v>50</v>
      </c>
      <c r="E987" s="24">
        <v>99</v>
      </c>
      <c r="F987" s="24">
        <v>0</v>
      </c>
      <c r="G987" s="24" t="s">
        <v>1222</v>
      </c>
      <c r="H987" s="24" t="s">
        <v>49</v>
      </c>
      <c r="I987" s="24" t="s">
        <v>1223</v>
      </c>
      <c r="J987" s="24" t="s">
        <v>1122</v>
      </c>
      <c r="K987" s="24" t="s">
        <v>1224</v>
      </c>
      <c r="L987" s="24" t="s">
        <v>1615</v>
      </c>
      <c r="M987" s="24" t="str">
        <f t="shared" si="15"/>
        <v>KWOPBA07</v>
      </c>
    </row>
    <row r="988" spans="1:13" ht="11.4" customHeight="1">
      <c r="A988" s="24" t="s">
        <v>2157</v>
      </c>
      <c r="B988" s="24" t="s">
        <v>2092</v>
      </c>
      <c r="C988" s="24">
        <v>0.5</v>
      </c>
      <c r="D988" s="24">
        <v>50</v>
      </c>
      <c r="E988" s="24">
        <v>123</v>
      </c>
      <c r="F988" s="24">
        <v>0</v>
      </c>
      <c r="G988" s="24" t="s">
        <v>1222</v>
      </c>
      <c r="H988" s="24" t="s">
        <v>49</v>
      </c>
      <c r="I988" s="24" t="s">
        <v>1223</v>
      </c>
      <c r="J988" s="24" t="s">
        <v>1122</v>
      </c>
      <c r="K988" s="24" t="s">
        <v>1224</v>
      </c>
      <c r="L988" s="24" t="s">
        <v>1615</v>
      </c>
      <c r="M988" s="24" t="str">
        <f t="shared" si="15"/>
        <v>KWOPBA08</v>
      </c>
    </row>
    <row r="989" spans="1:13" ht="11.4" customHeight="1">
      <c r="A989" s="24" t="s">
        <v>2158</v>
      </c>
      <c r="B989" s="24" t="s">
        <v>2092</v>
      </c>
      <c r="C989" s="24">
        <v>0.5</v>
      </c>
      <c r="D989" s="24">
        <v>1265</v>
      </c>
      <c r="E989" s="24">
        <v>2200</v>
      </c>
      <c r="F989" s="30" t="s">
        <v>1252</v>
      </c>
      <c r="G989" s="24" t="s">
        <v>1222</v>
      </c>
      <c r="H989" s="24" t="s">
        <v>49</v>
      </c>
      <c r="I989" s="24" t="s">
        <v>1223</v>
      </c>
      <c r="K989" s="24" t="s">
        <v>1224</v>
      </c>
      <c r="L989" s="24" t="s">
        <v>1225</v>
      </c>
      <c r="M989" s="24" t="str">
        <f t="shared" si="15"/>
        <v>XWOPBA08</v>
      </c>
    </row>
    <row r="990" spans="1:13" ht="11.4" customHeight="1">
      <c r="A990" s="24" t="s">
        <v>2159</v>
      </c>
      <c r="B990" s="24" t="s">
        <v>2092</v>
      </c>
      <c r="C990" s="24">
        <v>0.5</v>
      </c>
      <c r="D990" s="24">
        <v>1265</v>
      </c>
      <c r="E990" s="24">
        <v>2200</v>
      </c>
      <c r="F990" s="30" t="s">
        <v>1252</v>
      </c>
      <c r="G990" s="24" t="s">
        <v>1222</v>
      </c>
      <c r="H990" s="24" t="s">
        <v>49</v>
      </c>
      <c r="I990" s="24" t="s">
        <v>1223</v>
      </c>
      <c r="K990" s="24" t="s">
        <v>1224</v>
      </c>
      <c r="L990" s="24" t="s">
        <v>1225</v>
      </c>
      <c r="M990" s="24" t="str">
        <f t="shared" si="15"/>
        <v>XWOPBA08</v>
      </c>
    </row>
    <row r="991" spans="1:13" ht="11.4" customHeight="1">
      <c r="A991" s="24" t="s">
        <v>2160</v>
      </c>
      <c r="B991" s="24" t="s">
        <v>2092</v>
      </c>
      <c r="C991" s="24">
        <v>0.5</v>
      </c>
      <c r="D991" s="24">
        <v>1265</v>
      </c>
      <c r="E991" s="24">
        <v>2520</v>
      </c>
      <c r="F991" s="30" t="s">
        <v>1252</v>
      </c>
      <c r="G991" s="24" t="s">
        <v>1222</v>
      </c>
      <c r="H991" s="24" t="s">
        <v>49</v>
      </c>
      <c r="I991" s="24" t="s">
        <v>1223</v>
      </c>
      <c r="K991" s="24" t="s">
        <v>1224</v>
      </c>
      <c r="L991" s="24" t="s">
        <v>1225</v>
      </c>
      <c r="M991" s="24" t="str">
        <f t="shared" si="15"/>
        <v>XWOPBA01</v>
      </c>
    </row>
    <row r="992" spans="1:13" ht="11.4" customHeight="1">
      <c r="A992" s="24" t="s">
        <v>2161</v>
      </c>
      <c r="B992" s="24" t="s">
        <v>2092</v>
      </c>
      <c r="C992" s="24">
        <v>0.5</v>
      </c>
      <c r="D992" s="24">
        <v>1265</v>
      </c>
      <c r="E992" s="24">
        <v>2520</v>
      </c>
      <c r="F992" s="30" t="s">
        <v>1620</v>
      </c>
      <c r="G992" s="24" t="s">
        <v>1222</v>
      </c>
      <c r="H992" s="24" t="s">
        <v>49</v>
      </c>
      <c r="I992" s="24" t="s">
        <v>1223</v>
      </c>
      <c r="J992" s="24" t="s">
        <v>1122</v>
      </c>
      <c r="K992" s="24" t="s">
        <v>1224</v>
      </c>
      <c r="L992" s="24" t="s">
        <v>1225</v>
      </c>
      <c r="M992" s="24" t="str">
        <f t="shared" si="15"/>
        <v>XWOPBA11</v>
      </c>
    </row>
    <row r="993" spans="1:13" ht="11.4" customHeight="1">
      <c r="A993" s="24" t="s">
        <v>575</v>
      </c>
      <c r="B993" s="24" t="s">
        <v>2092</v>
      </c>
      <c r="C993" s="24">
        <v>0.5</v>
      </c>
      <c r="D993" s="24">
        <v>1265</v>
      </c>
      <c r="E993" s="24">
        <v>2520</v>
      </c>
      <c r="F993" s="30" t="s">
        <v>1252</v>
      </c>
      <c r="G993" s="24" t="s">
        <v>1222</v>
      </c>
      <c r="H993" s="24" t="s">
        <v>49</v>
      </c>
      <c r="I993" s="24" t="s">
        <v>1223</v>
      </c>
      <c r="K993" s="24" t="s">
        <v>1224</v>
      </c>
      <c r="L993" s="24" t="s">
        <v>1225</v>
      </c>
      <c r="M993" s="24" t="str">
        <f t="shared" si="15"/>
        <v>XWOPBA01</v>
      </c>
    </row>
    <row r="994" spans="1:13" ht="11.4" customHeight="1">
      <c r="A994" s="24" t="s">
        <v>2162</v>
      </c>
      <c r="B994" s="24" t="s">
        <v>2092</v>
      </c>
      <c r="C994" s="24">
        <v>0.5</v>
      </c>
      <c r="D994" s="24">
        <v>1265</v>
      </c>
      <c r="E994" s="24">
        <v>2520</v>
      </c>
      <c r="F994" s="30" t="s">
        <v>1620</v>
      </c>
      <c r="G994" s="24" t="s">
        <v>1222</v>
      </c>
      <c r="H994" s="24" t="s">
        <v>49</v>
      </c>
      <c r="I994" s="24" t="s">
        <v>1223</v>
      </c>
      <c r="J994" s="24" t="s">
        <v>1122</v>
      </c>
      <c r="K994" s="24" t="s">
        <v>1224</v>
      </c>
      <c r="L994" s="24" t="s">
        <v>1225</v>
      </c>
      <c r="M994" s="24" t="str">
        <f t="shared" si="15"/>
        <v>XWOPBA11</v>
      </c>
    </row>
    <row r="995" spans="1:13" ht="11.4" customHeight="1">
      <c r="A995" s="24" t="s">
        <v>2163</v>
      </c>
      <c r="B995" s="24" t="s">
        <v>2092</v>
      </c>
      <c r="C995" s="24">
        <v>0.5</v>
      </c>
      <c r="D995" s="24">
        <v>1265</v>
      </c>
      <c r="E995" s="24">
        <v>2800</v>
      </c>
      <c r="F995" s="30" t="s">
        <v>1252</v>
      </c>
      <c r="G995" s="24" t="s">
        <v>1222</v>
      </c>
      <c r="H995" s="24" t="s">
        <v>49</v>
      </c>
      <c r="I995" s="24" t="s">
        <v>1223</v>
      </c>
      <c r="K995" s="24" t="s">
        <v>1224</v>
      </c>
      <c r="L995" s="24" t="s">
        <v>1225</v>
      </c>
      <c r="M995" s="24" t="str">
        <f t="shared" si="15"/>
        <v>XWOPBA09</v>
      </c>
    </row>
    <row r="996" spans="1:13" ht="11.4" customHeight="1">
      <c r="A996" s="24" t="s">
        <v>2164</v>
      </c>
      <c r="B996" s="24" t="s">
        <v>2092</v>
      </c>
      <c r="C996" s="24">
        <v>0.5</v>
      </c>
      <c r="D996" s="24">
        <v>1265</v>
      </c>
      <c r="E996" s="24">
        <v>2800</v>
      </c>
      <c r="F996" s="30" t="s">
        <v>1252</v>
      </c>
      <c r="G996" s="24" t="s">
        <v>1222</v>
      </c>
      <c r="H996" s="24" t="s">
        <v>49</v>
      </c>
      <c r="I996" s="24" t="s">
        <v>1223</v>
      </c>
      <c r="K996" s="24" t="s">
        <v>1224</v>
      </c>
      <c r="L996" s="24" t="s">
        <v>1225</v>
      </c>
      <c r="M996" s="24" t="str">
        <f t="shared" si="15"/>
        <v>XWOPBA09</v>
      </c>
    </row>
    <row r="997" spans="1:13" ht="11.4" customHeight="1">
      <c r="A997" s="24" t="s">
        <v>2165</v>
      </c>
      <c r="B997" s="24" t="s">
        <v>2092</v>
      </c>
      <c r="C997" s="24">
        <v>0.5</v>
      </c>
      <c r="D997" s="24">
        <v>1265</v>
      </c>
      <c r="E997" s="24">
        <v>3100</v>
      </c>
      <c r="F997" s="30" t="s">
        <v>1620</v>
      </c>
      <c r="G997" s="24" t="s">
        <v>1222</v>
      </c>
      <c r="H997" s="24" t="s">
        <v>49</v>
      </c>
      <c r="I997" s="24" t="s">
        <v>1223</v>
      </c>
      <c r="J997" s="24" t="s">
        <v>1122</v>
      </c>
      <c r="K997" s="24" t="s">
        <v>1224</v>
      </c>
      <c r="L997" s="24" t="s">
        <v>1225</v>
      </c>
      <c r="M997" s="24" t="str">
        <f t="shared" si="15"/>
        <v>XWOPBA12</v>
      </c>
    </row>
    <row r="998" spans="1:13" ht="11.4" customHeight="1">
      <c r="A998" s="24" t="s">
        <v>2166</v>
      </c>
      <c r="B998" s="24" t="s">
        <v>2092</v>
      </c>
      <c r="C998" s="24">
        <v>0.5</v>
      </c>
      <c r="D998" s="24">
        <v>1265</v>
      </c>
      <c r="E998" s="24">
        <v>3100</v>
      </c>
      <c r="F998" s="30" t="s">
        <v>1620</v>
      </c>
      <c r="G998" s="24" t="s">
        <v>1222</v>
      </c>
      <c r="H998" s="24" t="s">
        <v>49</v>
      </c>
      <c r="I998" s="24" t="s">
        <v>1223</v>
      </c>
      <c r="J998" s="24" t="s">
        <v>1122</v>
      </c>
      <c r="K998" s="24" t="s">
        <v>1224</v>
      </c>
      <c r="L998" s="24" t="s">
        <v>1225</v>
      </c>
      <c r="M998" s="24" t="str">
        <f t="shared" si="15"/>
        <v>XWOPBA12</v>
      </c>
    </row>
    <row r="999" spans="1:13" ht="11.4" customHeight="1">
      <c r="A999" s="24" t="s">
        <v>2167</v>
      </c>
      <c r="B999" s="24" t="s">
        <v>2092</v>
      </c>
      <c r="C999" s="24">
        <v>0.5</v>
      </c>
      <c r="D999" s="24">
        <v>1265</v>
      </c>
      <c r="E999" s="24">
        <v>3300</v>
      </c>
      <c r="F999" s="30" t="s">
        <v>1252</v>
      </c>
      <c r="G999" s="24" t="s">
        <v>1222</v>
      </c>
      <c r="H999" s="24" t="s">
        <v>49</v>
      </c>
      <c r="I999" s="24" t="s">
        <v>1223</v>
      </c>
      <c r="K999" s="24" t="s">
        <v>1224</v>
      </c>
      <c r="L999" s="24" t="s">
        <v>1225</v>
      </c>
      <c r="M999" s="24" t="str">
        <f t="shared" si="15"/>
        <v>XWOPBA10</v>
      </c>
    </row>
    <row r="1000" spans="1:13" ht="11.4" customHeight="1">
      <c r="A1000" s="24" t="s">
        <v>656</v>
      </c>
      <c r="B1000" s="24" t="s">
        <v>2092</v>
      </c>
      <c r="C1000" s="24">
        <v>0.5</v>
      </c>
      <c r="D1000" s="24">
        <v>1265</v>
      </c>
      <c r="E1000" s="24">
        <v>3300</v>
      </c>
      <c r="F1000" s="24" t="s">
        <v>1252</v>
      </c>
      <c r="G1000" s="24" t="s">
        <v>1222</v>
      </c>
      <c r="H1000" s="24" t="s">
        <v>49</v>
      </c>
      <c r="I1000" s="24" t="s">
        <v>1223</v>
      </c>
      <c r="K1000" s="24" t="s">
        <v>1224</v>
      </c>
      <c r="L1000" s="24" t="s">
        <v>1225</v>
      </c>
      <c r="M1000" s="24" t="str">
        <f t="shared" si="15"/>
        <v>XWOPBA10</v>
      </c>
    </row>
    <row r="1001" spans="1:13" ht="11.4" customHeight="1">
      <c r="A1001" s="24" t="s">
        <v>2168</v>
      </c>
      <c r="B1001" s="24" t="s">
        <v>2092</v>
      </c>
      <c r="C1001" s="24">
        <v>0.5</v>
      </c>
      <c r="D1001" s="24">
        <v>1265</v>
      </c>
      <c r="E1001" s="24">
        <v>2520</v>
      </c>
      <c r="F1001" s="30" t="s">
        <v>1252</v>
      </c>
      <c r="G1001" s="24" t="s">
        <v>1222</v>
      </c>
      <c r="H1001" s="24" t="s">
        <v>49</v>
      </c>
      <c r="I1001" s="24" t="s">
        <v>1237</v>
      </c>
      <c r="K1001" s="24" t="s">
        <v>1224</v>
      </c>
      <c r="L1001" s="24" t="s">
        <v>1225</v>
      </c>
      <c r="M1001" s="24" t="str">
        <f t="shared" si="15"/>
        <v>XWOPPA01</v>
      </c>
    </row>
    <row r="1002" spans="1:13" ht="11.4" customHeight="1">
      <c r="A1002" s="24" t="s">
        <v>2169</v>
      </c>
      <c r="B1002" s="24" t="s">
        <v>2092</v>
      </c>
      <c r="C1002" s="24">
        <v>0.5</v>
      </c>
      <c r="D1002" s="24">
        <v>1265</v>
      </c>
      <c r="E1002" s="24">
        <v>2520</v>
      </c>
      <c r="F1002" s="30" t="s">
        <v>1620</v>
      </c>
      <c r="G1002" s="24" t="s">
        <v>1222</v>
      </c>
      <c r="H1002" s="24" t="s">
        <v>49</v>
      </c>
      <c r="I1002" s="24" t="s">
        <v>1237</v>
      </c>
      <c r="J1002" s="24" t="s">
        <v>1122</v>
      </c>
      <c r="K1002" s="24" t="s">
        <v>1224</v>
      </c>
      <c r="L1002" s="24" t="s">
        <v>1225</v>
      </c>
      <c r="M1002" s="24" t="str">
        <f t="shared" si="15"/>
        <v>XWOPPA08</v>
      </c>
    </row>
    <row r="1003" spans="1:13" ht="11.4" customHeight="1">
      <c r="A1003" s="24" t="s">
        <v>2170</v>
      </c>
      <c r="B1003" s="24" t="s">
        <v>2092</v>
      </c>
      <c r="C1003" s="24">
        <v>0.5</v>
      </c>
      <c r="D1003" s="24">
        <v>1265</v>
      </c>
      <c r="E1003" s="24">
        <v>2520</v>
      </c>
      <c r="F1003" s="30" t="s">
        <v>1252</v>
      </c>
      <c r="G1003" s="24" t="s">
        <v>1222</v>
      </c>
      <c r="H1003" s="24" t="s">
        <v>49</v>
      </c>
      <c r="I1003" s="24" t="s">
        <v>1237</v>
      </c>
      <c r="K1003" s="24" t="s">
        <v>1224</v>
      </c>
      <c r="L1003" s="24" t="s">
        <v>1225</v>
      </c>
      <c r="M1003" s="24" t="str">
        <f t="shared" si="15"/>
        <v>XWOPPA01</v>
      </c>
    </row>
    <row r="1004" spans="1:13" ht="11.4" customHeight="1">
      <c r="A1004" s="24" t="s">
        <v>2171</v>
      </c>
      <c r="B1004" s="24" t="s">
        <v>2092</v>
      </c>
      <c r="C1004" s="24">
        <v>0.5</v>
      </c>
      <c r="D1004" s="24">
        <v>1265</v>
      </c>
      <c r="E1004" s="24">
        <v>2520</v>
      </c>
      <c r="F1004" s="30" t="s">
        <v>1620</v>
      </c>
      <c r="G1004" s="24" t="s">
        <v>1222</v>
      </c>
      <c r="H1004" s="24" t="s">
        <v>49</v>
      </c>
      <c r="I1004" s="24" t="s">
        <v>1237</v>
      </c>
      <c r="J1004" s="24" t="s">
        <v>1122</v>
      </c>
      <c r="K1004" s="24" t="s">
        <v>1224</v>
      </c>
      <c r="L1004" s="24" t="s">
        <v>1225</v>
      </c>
      <c r="M1004" s="24" t="str">
        <f t="shared" si="15"/>
        <v>XWOPPA08</v>
      </c>
    </row>
    <row r="1005" spans="1:13" ht="11.4" customHeight="1">
      <c r="A1005" s="24" t="s">
        <v>2172</v>
      </c>
      <c r="B1005" s="24" t="s">
        <v>2092</v>
      </c>
      <c r="C1005" s="24">
        <v>0.5</v>
      </c>
      <c r="D1005" s="24">
        <v>1265</v>
      </c>
      <c r="E1005" s="24">
        <v>3300</v>
      </c>
      <c r="F1005" s="30" t="s">
        <v>1252</v>
      </c>
      <c r="G1005" s="24" t="s">
        <v>1222</v>
      </c>
      <c r="H1005" s="24" t="s">
        <v>49</v>
      </c>
      <c r="I1005" s="24" t="s">
        <v>1237</v>
      </c>
      <c r="K1005" s="24" t="s">
        <v>1224</v>
      </c>
      <c r="L1005" s="24" t="s">
        <v>1225</v>
      </c>
      <c r="M1005" s="24" t="str">
        <f t="shared" si="15"/>
        <v>XWOPPA02</v>
      </c>
    </row>
    <row r="1006" spans="1:13" ht="11.4" customHeight="1">
      <c r="A1006" s="24" t="s">
        <v>2173</v>
      </c>
      <c r="B1006" s="24" t="s">
        <v>2092</v>
      </c>
      <c r="C1006" s="24">
        <v>0.5</v>
      </c>
      <c r="D1006" s="24">
        <v>1265</v>
      </c>
      <c r="E1006" s="24">
        <v>3300</v>
      </c>
      <c r="F1006" s="30" t="s">
        <v>1252</v>
      </c>
      <c r="G1006" s="24" t="s">
        <v>1222</v>
      </c>
      <c r="H1006" s="24" t="s">
        <v>49</v>
      </c>
      <c r="I1006" s="24" t="s">
        <v>1237</v>
      </c>
      <c r="K1006" s="24" t="s">
        <v>1224</v>
      </c>
      <c r="L1006" s="24" t="s">
        <v>1225</v>
      </c>
      <c r="M1006" s="24" t="str">
        <f t="shared" si="15"/>
        <v>XWOPPA02</v>
      </c>
    </row>
    <row r="1007" spans="1:13" ht="11.4" customHeight="1">
      <c r="A1007" s="24" t="s">
        <v>2174</v>
      </c>
      <c r="B1007" s="24" t="s">
        <v>2092</v>
      </c>
      <c r="C1007" s="24">
        <v>0.5</v>
      </c>
      <c r="D1007" s="24">
        <v>50</v>
      </c>
      <c r="E1007" s="24">
        <v>99</v>
      </c>
      <c r="F1007" s="24">
        <v>0</v>
      </c>
      <c r="G1007" s="24" t="s">
        <v>1222</v>
      </c>
      <c r="H1007" s="24" t="s">
        <v>2175</v>
      </c>
      <c r="I1007" s="24" t="s">
        <v>1237</v>
      </c>
      <c r="J1007" s="24" t="s">
        <v>1122</v>
      </c>
      <c r="K1007" s="24" t="s">
        <v>1224</v>
      </c>
      <c r="L1007" s="24" t="s">
        <v>1615</v>
      </c>
      <c r="M1007" s="24" t="str">
        <f t="shared" si="15"/>
        <v>KWOPPA01</v>
      </c>
    </row>
    <row r="1008" spans="1:13" ht="11.4" customHeight="1">
      <c r="A1008" s="24" t="s">
        <v>2176</v>
      </c>
      <c r="B1008" s="24" t="s">
        <v>2092</v>
      </c>
      <c r="C1008" s="24">
        <v>0.5</v>
      </c>
      <c r="D1008" s="24">
        <v>1265</v>
      </c>
      <c r="E1008" s="24">
        <v>2520</v>
      </c>
      <c r="F1008" s="30" t="s">
        <v>1252</v>
      </c>
      <c r="G1008" s="24" t="s">
        <v>1222</v>
      </c>
      <c r="H1008" s="24" t="s">
        <v>1366</v>
      </c>
      <c r="I1008" s="24" t="s">
        <v>1223</v>
      </c>
      <c r="K1008" s="24" t="s">
        <v>1224</v>
      </c>
      <c r="L1008" s="24" t="s">
        <v>1225</v>
      </c>
      <c r="M1008" s="24" t="str">
        <f t="shared" si="15"/>
        <v>XWOPBA02</v>
      </c>
    </row>
    <row r="1009" spans="1:13" ht="11.4" customHeight="1">
      <c r="A1009" s="24" t="s">
        <v>667</v>
      </c>
      <c r="B1009" s="24" t="s">
        <v>2092</v>
      </c>
      <c r="C1009" s="24">
        <v>0.5</v>
      </c>
      <c r="D1009" s="24">
        <v>1265</v>
      </c>
      <c r="E1009" s="24">
        <v>2520</v>
      </c>
      <c r="F1009" s="30" t="s">
        <v>1252</v>
      </c>
      <c r="G1009" s="24" t="s">
        <v>1222</v>
      </c>
      <c r="H1009" s="24" t="s">
        <v>1366</v>
      </c>
      <c r="I1009" s="24" t="s">
        <v>1223</v>
      </c>
      <c r="K1009" s="24" t="s">
        <v>1224</v>
      </c>
      <c r="L1009" s="24" t="s">
        <v>1225</v>
      </c>
      <c r="M1009" s="24" t="str">
        <f t="shared" si="15"/>
        <v>XWOPBA02</v>
      </c>
    </row>
    <row r="1010" spans="1:13" ht="11.4" customHeight="1">
      <c r="A1010" s="24" t="s">
        <v>2177</v>
      </c>
      <c r="B1010" s="24" t="s">
        <v>2092</v>
      </c>
      <c r="C1010" s="24">
        <v>0.5</v>
      </c>
      <c r="D1010" s="24">
        <v>50</v>
      </c>
      <c r="E1010" s="24">
        <v>99</v>
      </c>
      <c r="F1010" s="24">
        <v>0</v>
      </c>
      <c r="G1010" s="24" t="s">
        <v>1222</v>
      </c>
      <c r="H1010" s="24" t="s">
        <v>1633</v>
      </c>
      <c r="I1010" s="24" t="s">
        <v>1223</v>
      </c>
      <c r="J1010" s="24" t="s">
        <v>1122</v>
      </c>
      <c r="K1010" s="24" t="s">
        <v>1224</v>
      </c>
      <c r="L1010" s="24" t="s">
        <v>1615</v>
      </c>
      <c r="M1010" s="24" t="str">
        <f t="shared" si="15"/>
        <v>KWOPBA06</v>
      </c>
    </row>
    <row r="1011" spans="1:13" ht="11.4" customHeight="1">
      <c r="A1011" s="24" t="s">
        <v>2178</v>
      </c>
      <c r="B1011" s="24" t="s">
        <v>2092</v>
      </c>
      <c r="C1011" s="24">
        <v>0.5</v>
      </c>
      <c r="D1011" s="24">
        <v>1265</v>
      </c>
      <c r="E1011" s="24">
        <v>2520</v>
      </c>
      <c r="F1011" s="30" t="s">
        <v>1252</v>
      </c>
      <c r="G1011" s="24" t="s">
        <v>1222</v>
      </c>
      <c r="H1011" s="24" t="s">
        <v>1633</v>
      </c>
      <c r="I1011" s="24" t="s">
        <v>1223</v>
      </c>
      <c r="K1011" s="24" t="s">
        <v>1224</v>
      </c>
      <c r="L1011" s="24" t="s">
        <v>1225</v>
      </c>
      <c r="M1011" s="24" t="str">
        <f t="shared" si="15"/>
        <v>XWOPBA07</v>
      </c>
    </row>
    <row r="1012" spans="1:13" ht="11.4" customHeight="1">
      <c r="A1012" s="24" t="s">
        <v>2179</v>
      </c>
      <c r="B1012" s="24" t="s">
        <v>2092</v>
      </c>
      <c r="C1012" s="24">
        <v>0.5</v>
      </c>
      <c r="D1012" s="24">
        <v>1265</v>
      </c>
      <c r="E1012" s="24">
        <v>2520</v>
      </c>
      <c r="F1012" s="30" t="s">
        <v>1252</v>
      </c>
      <c r="G1012" s="24" t="s">
        <v>1222</v>
      </c>
      <c r="H1012" s="24" t="s">
        <v>1633</v>
      </c>
      <c r="I1012" s="24" t="s">
        <v>1223</v>
      </c>
      <c r="K1012" s="24" t="s">
        <v>1224</v>
      </c>
      <c r="L1012" s="24" t="s">
        <v>1225</v>
      </c>
      <c r="M1012" s="24" t="str">
        <f t="shared" si="15"/>
        <v>XWOPBA07</v>
      </c>
    </row>
    <row r="1013" spans="1:13" ht="11.4" customHeight="1">
      <c r="A1013" s="24" t="s">
        <v>2180</v>
      </c>
      <c r="B1013" s="24" t="s">
        <v>2092</v>
      </c>
      <c r="C1013" s="24">
        <v>0.5</v>
      </c>
      <c r="D1013" s="24">
        <v>1265</v>
      </c>
      <c r="E1013" s="24">
        <v>3100</v>
      </c>
      <c r="F1013" s="30" t="s">
        <v>1252</v>
      </c>
      <c r="G1013" s="24" t="s">
        <v>1222</v>
      </c>
      <c r="H1013" s="24" t="s">
        <v>1633</v>
      </c>
      <c r="I1013" s="24" t="s">
        <v>1223</v>
      </c>
      <c r="K1013" s="24" t="s">
        <v>1224</v>
      </c>
      <c r="L1013" s="24" t="s">
        <v>1225</v>
      </c>
      <c r="M1013" s="24" t="str">
        <f t="shared" si="15"/>
        <v>XWOPBA15</v>
      </c>
    </row>
    <row r="1014" spans="1:13" ht="11.4" customHeight="1">
      <c r="A1014" s="24" t="s">
        <v>2181</v>
      </c>
      <c r="B1014" s="24" t="s">
        <v>2092</v>
      </c>
      <c r="C1014" s="24">
        <v>0.5</v>
      </c>
      <c r="D1014" s="24">
        <v>1265</v>
      </c>
      <c r="E1014" s="24">
        <v>3100</v>
      </c>
      <c r="F1014" s="30" t="s">
        <v>1252</v>
      </c>
      <c r="G1014" s="24" t="s">
        <v>1222</v>
      </c>
      <c r="H1014" s="24" t="s">
        <v>1633</v>
      </c>
      <c r="I1014" s="24" t="s">
        <v>1223</v>
      </c>
      <c r="K1014" s="24" t="s">
        <v>1224</v>
      </c>
      <c r="L1014" s="24" t="s">
        <v>1225</v>
      </c>
      <c r="M1014" s="24" t="str">
        <f t="shared" si="15"/>
        <v>XWOPBA15</v>
      </c>
    </row>
    <row r="1015" spans="1:13" ht="11.4" customHeight="1">
      <c r="A1015" s="24" t="s">
        <v>2182</v>
      </c>
      <c r="B1015" s="24" t="s">
        <v>2092</v>
      </c>
      <c r="C1015" s="24">
        <v>0.5</v>
      </c>
      <c r="D1015" s="24">
        <v>1265</v>
      </c>
      <c r="E1015" s="24">
        <v>2520</v>
      </c>
      <c r="F1015" s="30" t="s">
        <v>1252</v>
      </c>
      <c r="G1015" s="24" t="s">
        <v>1222</v>
      </c>
      <c r="H1015" s="24" t="s">
        <v>1137</v>
      </c>
      <c r="I1015" s="24" t="s">
        <v>1223</v>
      </c>
      <c r="K1015" s="24" t="s">
        <v>1224</v>
      </c>
      <c r="L1015" s="24" t="s">
        <v>1225</v>
      </c>
      <c r="M1015" s="24" t="str">
        <f t="shared" si="15"/>
        <v>XWOPBB01</v>
      </c>
    </row>
    <row r="1016" spans="1:13" ht="11.4" customHeight="1">
      <c r="A1016" s="24" t="s">
        <v>692</v>
      </c>
      <c r="B1016" s="24" t="s">
        <v>2092</v>
      </c>
      <c r="C1016" s="24">
        <v>0.5</v>
      </c>
      <c r="D1016" s="24">
        <v>1265</v>
      </c>
      <c r="E1016" s="24">
        <v>2520</v>
      </c>
      <c r="F1016" s="30" t="s">
        <v>1252</v>
      </c>
      <c r="G1016" s="24" t="s">
        <v>1222</v>
      </c>
      <c r="H1016" s="24" t="s">
        <v>1137</v>
      </c>
      <c r="I1016" s="24" t="s">
        <v>1223</v>
      </c>
      <c r="K1016" s="24" t="s">
        <v>1224</v>
      </c>
      <c r="L1016" s="24" t="s">
        <v>1225</v>
      </c>
      <c r="M1016" s="24" t="str">
        <f t="shared" si="15"/>
        <v>XWOPBB01</v>
      </c>
    </row>
    <row r="1017" spans="1:13" ht="11.4" customHeight="1">
      <c r="A1017" s="24" t="s">
        <v>2183</v>
      </c>
      <c r="B1017" s="24" t="s">
        <v>2092</v>
      </c>
      <c r="C1017" s="24">
        <v>0.5</v>
      </c>
      <c r="D1017" s="24">
        <v>1265</v>
      </c>
      <c r="E1017" s="24">
        <v>3100</v>
      </c>
      <c r="F1017" s="30" t="s">
        <v>1252</v>
      </c>
      <c r="G1017" s="24" t="s">
        <v>1222</v>
      </c>
      <c r="H1017" s="24" t="s">
        <v>1137</v>
      </c>
      <c r="I1017" s="24" t="s">
        <v>1223</v>
      </c>
      <c r="K1017" s="24" t="s">
        <v>1224</v>
      </c>
      <c r="L1017" s="24" t="s">
        <v>1225</v>
      </c>
      <c r="M1017" s="24" t="str">
        <f t="shared" si="15"/>
        <v>XWOPBB03</v>
      </c>
    </row>
    <row r="1018" spans="1:13" ht="11.4" customHeight="1">
      <c r="A1018" s="24" t="s">
        <v>675</v>
      </c>
      <c r="B1018" s="24" t="s">
        <v>2092</v>
      </c>
      <c r="C1018" s="24">
        <v>0.5</v>
      </c>
      <c r="D1018" s="24">
        <v>1265</v>
      </c>
      <c r="E1018" s="24">
        <v>3100</v>
      </c>
      <c r="F1018" s="30" t="s">
        <v>1252</v>
      </c>
      <c r="G1018" s="24" t="s">
        <v>1222</v>
      </c>
      <c r="H1018" s="24" t="s">
        <v>1137</v>
      </c>
      <c r="I1018" s="24" t="s">
        <v>1223</v>
      </c>
      <c r="K1018" s="24" t="s">
        <v>1224</v>
      </c>
      <c r="L1018" s="24" t="s">
        <v>1225</v>
      </c>
      <c r="M1018" s="24" t="str">
        <f t="shared" si="15"/>
        <v>XWOPBB03</v>
      </c>
    </row>
    <row r="1019" spans="1:13" ht="11.4" customHeight="1">
      <c r="A1019" s="24" t="s">
        <v>2184</v>
      </c>
      <c r="B1019" s="24" t="s">
        <v>2092</v>
      </c>
      <c r="C1019" s="24">
        <v>0.5</v>
      </c>
      <c r="D1019" s="24">
        <v>1265</v>
      </c>
      <c r="E1019" s="24">
        <v>2520</v>
      </c>
      <c r="F1019" s="30" t="s">
        <v>1252</v>
      </c>
      <c r="G1019" s="24" t="s">
        <v>1222</v>
      </c>
      <c r="H1019" s="24" t="s">
        <v>1137</v>
      </c>
      <c r="I1019" s="24" t="s">
        <v>1237</v>
      </c>
      <c r="K1019" s="24" t="s">
        <v>1224</v>
      </c>
      <c r="L1019" s="24" t="s">
        <v>1225</v>
      </c>
      <c r="M1019" s="24" t="str">
        <f t="shared" si="15"/>
        <v>XWOPPB01</v>
      </c>
    </row>
    <row r="1020" spans="1:13" ht="11.4" customHeight="1">
      <c r="A1020" s="24" t="s">
        <v>638</v>
      </c>
      <c r="B1020" s="24" t="s">
        <v>2092</v>
      </c>
      <c r="C1020" s="24">
        <v>0.5</v>
      </c>
      <c r="D1020" s="24">
        <v>1265</v>
      </c>
      <c r="E1020" s="24">
        <v>2520</v>
      </c>
      <c r="F1020" s="30" t="s">
        <v>1252</v>
      </c>
      <c r="G1020" s="24" t="s">
        <v>1222</v>
      </c>
      <c r="H1020" s="24" t="s">
        <v>1137</v>
      </c>
      <c r="I1020" s="24" t="s">
        <v>1237</v>
      </c>
      <c r="K1020" s="24" t="s">
        <v>1224</v>
      </c>
      <c r="L1020" s="24" t="s">
        <v>1225</v>
      </c>
      <c r="M1020" s="24" t="str">
        <f t="shared" si="15"/>
        <v>XWOPPB01</v>
      </c>
    </row>
    <row r="1021" spans="1:13" ht="11.4" customHeight="1">
      <c r="A1021" s="24" t="s">
        <v>2185</v>
      </c>
      <c r="B1021" s="24" t="s">
        <v>2092</v>
      </c>
      <c r="C1021" s="24">
        <v>0.5</v>
      </c>
      <c r="D1021" s="24">
        <v>1265</v>
      </c>
      <c r="E1021" s="24">
        <v>3100</v>
      </c>
      <c r="F1021" s="30" t="s">
        <v>1252</v>
      </c>
      <c r="G1021" s="24" t="s">
        <v>1222</v>
      </c>
      <c r="H1021" s="24" t="s">
        <v>1137</v>
      </c>
      <c r="I1021" s="24" t="s">
        <v>1237</v>
      </c>
      <c r="K1021" s="24" t="s">
        <v>1224</v>
      </c>
      <c r="L1021" s="24" t="s">
        <v>1225</v>
      </c>
      <c r="M1021" s="24" t="str">
        <f t="shared" si="15"/>
        <v>XWOPPB02</v>
      </c>
    </row>
    <row r="1022" spans="1:13" ht="11.4" customHeight="1">
      <c r="A1022" s="24" t="s">
        <v>2186</v>
      </c>
      <c r="B1022" s="24" t="s">
        <v>2092</v>
      </c>
      <c r="C1022" s="24">
        <v>0.5</v>
      </c>
      <c r="D1022" s="24">
        <v>1265</v>
      </c>
      <c r="E1022" s="24">
        <v>3100</v>
      </c>
      <c r="F1022" s="30" t="s">
        <v>1252</v>
      </c>
      <c r="G1022" s="24" t="s">
        <v>1222</v>
      </c>
      <c r="H1022" s="24" t="s">
        <v>1137</v>
      </c>
      <c r="I1022" s="24" t="s">
        <v>1237</v>
      </c>
      <c r="K1022" s="24" t="s">
        <v>1224</v>
      </c>
      <c r="L1022" s="24" t="s">
        <v>1225</v>
      </c>
      <c r="M1022" s="24" t="str">
        <f t="shared" si="15"/>
        <v>XWOPPB02</v>
      </c>
    </row>
    <row r="1023" spans="1:13" ht="11.4" customHeight="1">
      <c r="A1023" s="24" t="s">
        <v>668</v>
      </c>
      <c r="B1023" s="24" t="s">
        <v>2092</v>
      </c>
      <c r="C1023" s="24">
        <v>0.5</v>
      </c>
      <c r="D1023" s="24">
        <v>1265</v>
      </c>
      <c r="E1023" s="24">
        <v>2520</v>
      </c>
      <c r="F1023" s="30" t="s">
        <v>1252</v>
      </c>
      <c r="G1023" s="24" t="s">
        <v>1222</v>
      </c>
      <c r="H1023" s="24" t="s">
        <v>1278</v>
      </c>
      <c r="I1023" s="24" t="s">
        <v>1223</v>
      </c>
      <c r="K1023" s="24" t="s">
        <v>1224</v>
      </c>
      <c r="L1023" s="24" t="s">
        <v>1225</v>
      </c>
      <c r="M1023" s="24" t="str">
        <f t="shared" si="15"/>
        <v>XWOPBC01</v>
      </c>
    </row>
    <row r="1024" spans="1:13" ht="11.4" customHeight="1">
      <c r="A1024" s="24" t="s">
        <v>2187</v>
      </c>
      <c r="B1024" s="24" t="s">
        <v>2092</v>
      </c>
      <c r="C1024" s="24">
        <v>0.5</v>
      </c>
      <c r="D1024" s="24">
        <v>1265</v>
      </c>
      <c r="E1024" s="24">
        <v>2520</v>
      </c>
      <c r="F1024" s="30" t="s">
        <v>1252</v>
      </c>
      <c r="G1024" s="24" t="s">
        <v>1222</v>
      </c>
      <c r="H1024" s="24" t="s">
        <v>1278</v>
      </c>
      <c r="I1024" s="24" t="s">
        <v>1223</v>
      </c>
      <c r="K1024" s="24" t="s">
        <v>1224</v>
      </c>
      <c r="L1024" s="24" t="s">
        <v>1225</v>
      </c>
      <c r="M1024" s="24" t="str">
        <f t="shared" si="15"/>
        <v>XWOPBC01</v>
      </c>
    </row>
    <row r="1025" spans="1:13" ht="11.4" customHeight="1">
      <c r="A1025" s="24" t="s">
        <v>2188</v>
      </c>
      <c r="B1025" s="24" t="s">
        <v>2092</v>
      </c>
      <c r="C1025" s="24">
        <v>0.5</v>
      </c>
      <c r="D1025" s="24">
        <v>1265</v>
      </c>
      <c r="E1025" s="24">
        <v>2520</v>
      </c>
      <c r="F1025" s="30" t="s">
        <v>1221</v>
      </c>
      <c r="G1025" s="24" t="s">
        <v>1222</v>
      </c>
      <c r="H1025" s="24" t="s">
        <v>1221</v>
      </c>
      <c r="I1025" s="24" t="s">
        <v>1223</v>
      </c>
      <c r="K1025" s="24" t="s">
        <v>1224</v>
      </c>
      <c r="L1025" s="24" t="s">
        <v>1225</v>
      </c>
      <c r="M1025" s="24" t="str">
        <f t="shared" si="15"/>
        <v>XWOPBK01</v>
      </c>
    </row>
    <row r="1026" spans="1:13" ht="11.4" customHeight="1">
      <c r="A1026" s="24" t="s">
        <v>2189</v>
      </c>
      <c r="B1026" s="24" t="s">
        <v>2092</v>
      </c>
      <c r="C1026" s="24">
        <v>0.5</v>
      </c>
      <c r="D1026" s="24">
        <v>1265</v>
      </c>
      <c r="E1026" s="24">
        <v>2520</v>
      </c>
      <c r="F1026" s="30" t="s">
        <v>1221</v>
      </c>
      <c r="G1026" s="24" t="s">
        <v>1222</v>
      </c>
      <c r="H1026" s="24" t="s">
        <v>1221</v>
      </c>
      <c r="I1026" s="24" t="s">
        <v>1223</v>
      </c>
      <c r="K1026" s="24" t="s">
        <v>1224</v>
      </c>
      <c r="L1026" s="24" t="s">
        <v>1225</v>
      </c>
      <c r="M1026" s="24" t="str">
        <f t="shared" si="15"/>
        <v>XWOPBK01</v>
      </c>
    </row>
    <row r="1027" spans="1:13" ht="11.4" customHeight="1">
      <c r="A1027" s="24" t="s">
        <v>2190</v>
      </c>
      <c r="B1027" s="24" t="s">
        <v>2092</v>
      </c>
      <c r="C1027" s="24">
        <v>0.5</v>
      </c>
      <c r="D1027" s="24">
        <v>1265</v>
      </c>
      <c r="E1027" s="24">
        <v>3300</v>
      </c>
      <c r="F1027" s="30" t="s">
        <v>1221</v>
      </c>
      <c r="G1027" s="24" t="s">
        <v>1222</v>
      </c>
      <c r="H1027" s="24" t="s">
        <v>1278</v>
      </c>
      <c r="I1027" s="24" t="s">
        <v>1223</v>
      </c>
      <c r="K1027" s="24" t="s">
        <v>1224</v>
      </c>
      <c r="L1027" s="24" t="s">
        <v>1225</v>
      </c>
      <c r="M1027" s="24" t="str">
        <f t="shared" si="15"/>
        <v>XWOPBC02</v>
      </c>
    </row>
    <row r="1028" spans="1:13" ht="11.4" customHeight="1">
      <c r="A1028" s="24" t="s">
        <v>660</v>
      </c>
      <c r="B1028" s="24" t="s">
        <v>2092</v>
      </c>
      <c r="C1028" s="24">
        <v>0.5</v>
      </c>
      <c r="D1028" s="24">
        <v>1265</v>
      </c>
      <c r="E1028" s="24">
        <v>3300</v>
      </c>
      <c r="F1028" s="24" t="s">
        <v>1221</v>
      </c>
      <c r="G1028" s="24" t="s">
        <v>1222</v>
      </c>
      <c r="H1028" s="24" t="s">
        <v>1278</v>
      </c>
      <c r="I1028" s="24" t="s">
        <v>1223</v>
      </c>
      <c r="K1028" s="24" t="s">
        <v>1224</v>
      </c>
      <c r="L1028" s="24" t="s">
        <v>1225</v>
      </c>
      <c r="M1028" s="24" t="str">
        <f t="shared" ref="M1028:M1091" si="16">RIGHT(A1028,8)</f>
        <v>XWOPBC02</v>
      </c>
    </row>
    <row r="1029" spans="1:13" ht="11.4" customHeight="1">
      <c r="A1029" s="24" t="s">
        <v>2191</v>
      </c>
      <c r="B1029" s="24" t="s">
        <v>2092</v>
      </c>
      <c r="C1029" s="24">
        <v>0.5</v>
      </c>
      <c r="D1029" s="24">
        <v>1265</v>
      </c>
      <c r="E1029" s="24">
        <v>2520</v>
      </c>
      <c r="F1029" s="30" t="s">
        <v>1221</v>
      </c>
      <c r="G1029" s="24" t="s">
        <v>1222</v>
      </c>
      <c r="H1029" s="24" t="s">
        <v>1278</v>
      </c>
      <c r="I1029" s="24" t="s">
        <v>1237</v>
      </c>
      <c r="K1029" s="24" t="s">
        <v>1224</v>
      </c>
      <c r="L1029" s="24" t="s">
        <v>1225</v>
      </c>
      <c r="M1029" s="24" t="str">
        <f t="shared" si="16"/>
        <v>XWOPPC01</v>
      </c>
    </row>
    <row r="1030" spans="1:13" ht="11.4" customHeight="1">
      <c r="A1030" s="24" t="s">
        <v>2192</v>
      </c>
      <c r="B1030" s="24" t="s">
        <v>2092</v>
      </c>
      <c r="C1030" s="24">
        <v>0.5</v>
      </c>
      <c r="D1030" s="24">
        <v>1265</v>
      </c>
      <c r="E1030" s="24">
        <v>2520</v>
      </c>
      <c r="F1030" s="30" t="s">
        <v>1221</v>
      </c>
      <c r="G1030" s="24" t="s">
        <v>1222</v>
      </c>
      <c r="H1030" s="24" t="s">
        <v>1278</v>
      </c>
      <c r="I1030" s="24" t="s">
        <v>1237</v>
      </c>
      <c r="K1030" s="24" t="s">
        <v>1224</v>
      </c>
      <c r="L1030" s="24" t="s">
        <v>1225</v>
      </c>
      <c r="M1030" s="24" t="str">
        <f t="shared" si="16"/>
        <v>XWOPPC01</v>
      </c>
    </row>
    <row r="1031" spans="1:13" ht="11.4" customHeight="1">
      <c r="A1031" s="24" t="s">
        <v>2193</v>
      </c>
      <c r="B1031" s="24" t="s">
        <v>2092</v>
      </c>
      <c r="C1031" s="24">
        <v>0.5</v>
      </c>
      <c r="D1031" s="24">
        <v>965</v>
      </c>
      <c r="E1031" s="24">
        <v>2250</v>
      </c>
      <c r="F1031" s="30" t="s">
        <v>1252</v>
      </c>
      <c r="G1031" s="24" t="s">
        <v>1222</v>
      </c>
      <c r="H1031" s="24" t="s">
        <v>1380</v>
      </c>
      <c r="I1031" s="24" t="s">
        <v>1223</v>
      </c>
      <c r="K1031" s="24" t="s">
        <v>1224</v>
      </c>
      <c r="L1031" s="24" t="s">
        <v>1339</v>
      </c>
      <c r="M1031" s="24" t="str">
        <f t="shared" si="16"/>
        <v>XWOPBA04</v>
      </c>
    </row>
    <row r="1032" spans="1:13" ht="11.4" customHeight="1">
      <c r="A1032" s="24" t="s">
        <v>1057</v>
      </c>
      <c r="B1032" s="24" t="s">
        <v>2092</v>
      </c>
      <c r="C1032" s="24">
        <v>0.5</v>
      </c>
      <c r="D1032" s="24">
        <v>965</v>
      </c>
      <c r="E1032" s="24">
        <v>2250</v>
      </c>
      <c r="F1032" s="30" t="s">
        <v>1252</v>
      </c>
      <c r="G1032" s="24" t="s">
        <v>1222</v>
      </c>
      <c r="H1032" s="24" t="s">
        <v>1380</v>
      </c>
      <c r="I1032" s="24" t="s">
        <v>1223</v>
      </c>
      <c r="K1032" s="24" t="s">
        <v>1224</v>
      </c>
      <c r="L1032" s="24" t="s">
        <v>1339</v>
      </c>
      <c r="M1032" s="24" t="str">
        <f t="shared" si="16"/>
        <v>XWOPBA04</v>
      </c>
    </row>
    <row r="1033" spans="1:13" ht="11.4" customHeight="1">
      <c r="A1033" s="24" t="s">
        <v>2194</v>
      </c>
      <c r="B1033" s="24" t="s">
        <v>2092</v>
      </c>
      <c r="C1033" s="24">
        <v>0.5</v>
      </c>
      <c r="D1033" s="24">
        <v>965</v>
      </c>
      <c r="E1033" s="24">
        <v>2520</v>
      </c>
      <c r="F1033" s="30" t="s">
        <v>1252</v>
      </c>
      <c r="G1033" s="24" t="s">
        <v>1222</v>
      </c>
      <c r="H1033" s="24" t="s">
        <v>1380</v>
      </c>
      <c r="I1033" s="24" t="s">
        <v>1223</v>
      </c>
      <c r="K1033" s="24" t="s">
        <v>1224</v>
      </c>
      <c r="L1033" s="24" t="s">
        <v>1339</v>
      </c>
      <c r="M1033" s="24" t="str">
        <f t="shared" si="16"/>
        <v>XWOPBA03</v>
      </c>
    </row>
    <row r="1034" spans="1:13" ht="11.4" customHeight="1">
      <c r="A1034" s="24" t="s">
        <v>2195</v>
      </c>
      <c r="B1034" s="24" t="s">
        <v>2092</v>
      </c>
      <c r="C1034" s="24">
        <v>0.5</v>
      </c>
      <c r="D1034" s="24">
        <v>1265</v>
      </c>
      <c r="E1034" s="24">
        <v>2520</v>
      </c>
      <c r="F1034" s="30" t="s">
        <v>1252</v>
      </c>
      <c r="G1034" s="24" t="s">
        <v>1222</v>
      </c>
      <c r="H1034" s="24" t="s">
        <v>1380</v>
      </c>
      <c r="I1034" s="24" t="s">
        <v>1223</v>
      </c>
      <c r="K1034" s="24" t="s">
        <v>1224</v>
      </c>
      <c r="L1034" s="24" t="s">
        <v>1339</v>
      </c>
      <c r="M1034" s="24" t="str">
        <f t="shared" si="16"/>
        <v>XWOPBA05</v>
      </c>
    </row>
    <row r="1035" spans="1:13" ht="11.4" customHeight="1">
      <c r="A1035" s="24" t="s">
        <v>1060</v>
      </c>
      <c r="B1035" s="24" t="s">
        <v>2092</v>
      </c>
      <c r="C1035" s="24">
        <v>0.5</v>
      </c>
      <c r="D1035" s="24">
        <v>965</v>
      </c>
      <c r="E1035" s="24">
        <v>2520</v>
      </c>
      <c r="F1035" s="30" t="s">
        <v>1252</v>
      </c>
      <c r="G1035" s="24" t="s">
        <v>1222</v>
      </c>
      <c r="H1035" s="24" t="s">
        <v>1380</v>
      </c>
      <c r="I1035" s="24" t="s">
        <v>1223</v>
      </c>
      <c r="K1035" s="24" t="s">
        <v>1224</v>
      </c>
      <c r="L1035" s="24" t="s">
        <v>1339</v>
      </c>
      <c r="M1035" s="24" t="str">
        <f t="shared" si="16"/>
        <v>XWOPBA03</v>
      </c>
    </row>
    <row r="1036" spans="1:13" ht="11.4" customHeight="1">
      <c r="A1036" s="24" t="s">
        <v>1066</v>
      </c>
      <c r="B1036" s="24" t="s">
        <v>2092</v>
      </c>
      <c r="C1036" s="24">
        <v>0.5</v>
      </c>
      <c r="D1036" s="24">
        <v>1265</v>
      </c>
      <c r="E1036" s="24">
        <v>2520</v>
      </c>
      <c r="F1036" s="30" t="s">
        <v>1252</v>
      </c>
      <c r="G1036" s="24" t="s">
        <v>1222</v>
      </c>
      <c r="H1036" s="24" t="s">
        <v>1380</v>
      </c>
      <c r="I1036" s="24" t="s">
        <v>1223</v>
      </c>
      <c r="K1036" s="24" t="s">
        <v>1224</v>
      </c>
      <c r="L1036" s="24" t="s">
        <v>1339</v>
      </c>
      <c r="M1036" s="24" t="str">
        <f t="shared" si="16"/>
        <v>XWOPBA05</v>
      </c>
    </row>
    <row r="1037" spans="1:13" ht="11.4" customHeight="1">
      <c r="A1037" s="24" t="s">
        <v>2196</v>
      </c>
      <c r="B1037" s="24" t="s">
        <v>2092</v>
      </c>
      <c r="C1037" s="24">
        <v>0.5</v>
      </c>
      <c r="D1037" s="24">
        <v>965</v>
      </c>
      <c r="E1037" s="24">
        <v>2800</v>
      </c>
      <c r="F1037" s="30" t="s">
        <v>1252</v>
      </c>
      <c r="G1037" s="24" t="s">
        <v>1222</v>
      </c>
      <c r="H1037" s="24" t="s">
        <v>1380</v>
      </c>
      <c r="I1037" s="24" t="s">
        <v>1223</v>
      </c>
      <c r="K1037" s="24" t="s">
        <v>1224</v>
      </c>
      <c r="L1037" s="24" t="s">
        <v>1339</v>
      </c>
      <c r="M1037" s="24" t="str">
        <f t="shared" si="16"/>
        <v>XWOPBA06</v>
      </c>
    </row>
    <row r="1038" spans="1:13" ht="11.4" customHeight="1">
      <c r="A1038" s="24" t="s">
        <v>1063</v>
      </c>
      <c r="B1038" s="24" t="s">
        <v>2092</v>
      </c>
      <c r="C1038" s="24">
        <v>0.5</v>
      </c>
      <c r="D1038" s="24">
        <v>965</v>
      </c>
      <c r="E1038" s="24">
        <v>2800</v>
      </c>
      <c r="F1038" s="30" t="s">
        <v>1252</v>
      </c>
      <c r="G1038" s="24" t="s">
        <v>1222</v>
      </c>
      <c r="H1038" s="24" t="s">
        <v>1380</v>
      </c>
      <c r="I1038" s="24" t="s">
        <v>1223</v>
      </c>
      <c r="K1038" s="24" t="s">
        <v>1224</v>
      </c>
      <c r="L1038" s="24" t="s">
        <v>1339</v>
      </c>
      <c r="M1038" s="24" t="str">
        <f t="shared" si="16"/>
        <v>XWOPBA06</v>
      </c>
    </row>
    <row r="1039" spans="1:13" ht="11.4" customHeight="1">
      <c r="A1039" s="24" t="s">
        <v>2197</v>
      </c>
      <c r="B1039" s="24" t="s">
        <v>2092</v>
      </c>
      <c r="C1039" s="24">
        <v>0.5</v>
      </c>
      <c r="D1039" s="24">
        <v>1265</v>
      </c>
      <c r="E1039" s="24">
        <v>3300</v>
      </c>
      <c r="F1039" s="30" t="s">
        <v>1252</v>
      </c>
      <c r="G1039" s="24" t="s">
        <v>1222</v>
      </c>
      <c r="H1039" s="24" t="s">
        <v>1286</v>
      </c>
      <c r="I1039" s="24" t="s">
        <v>1237</v>
      </c>
      <c r="K1039" s="24" t="s">
        <v>1224</v>
      </c>
      <c r="L1039" s="24" t="s">
        <v>1225</v>
      </c>
      <c r="M1039" s="24" t="str">
        <f t="shared" si="16"/>
        <v>XWOPPR01</v>
      </c>
    </row>
    <row r="1040" spans="1:13" ht="11.4" customHeight="1">
      <c r="A1040" s="24" t="s">
        <v>2198</v>
      </c>
      <c r="B1040" s="24" t="s">
        <v>2092</v>
      </c>
      <c r="C1040" s="24">
        <v>0.5</v>
      </c>
      <c r="D1040" s="24">
        <v>1265</v>
      </c>
      <c r="E1040" s="24">
        <v>3300</v>
      </c>
      <c r="F1040" s="30" t="s">
        <v>1221</v>
      </c>
      <c r="G1040" s="24" t="s">
        <v>1222</v>
      </c>
      <c r="H1040" s="24" t="s">
        <v>1286</v>
      </c>
      <c r="I1040" s="24" t="s">
        <v>1237</v>
      </c>
      <c r="K1040" s="24" t="s">
        <v>1224</v>
      </c>
      <c r="L1040" s="24" t="s">
        <v>1225</v>
      </c>
      <c r="M1040" s="24" t="str">
        <f t="shared" si="16"/>
        <v>XWOPPR02</v>
      </c>
    </row>
    <row r="1041" spans="1:13" ht="11.4" customHeight="1">
      <c r="A1041" s="24" t="s">
        <v>2199</v>
      </c>
      <c r="B1041" s="24" t="s">
        <v>2092</v>
      </c>
      <c r="C1041" s="24">
        <v>0.5</v>
      </c>
      <c r="D1041" s="24">
        <v>1265</v>
      </c>
      <c r="E1041" s="24">
        <v>3300</v>
      </c>
      <c r="F1041" s="30" t="s">
        <v>1252</v>
      </c>
      <c r="G1041" s="24" t="s">
        <v>1222</v>
      </c>
      <c r="H1041" s="24" t="s">
        <v>1286</v>
      </c>
      <c r="I1041" s="24" t="s">
        <v>1237</v>
      </c>
      <c r="K1041" s="24" t="s">
        <v>1224</v>
      </c>
      <c r="L1041" s="24" t="s">
        <v>1225</v>
      </c>
      <c r="M1041" s="24" t="str">
        <f t="shared" si="16"/>
        <v>XWOPPR01</v>
      </c>
    </row>
    <row r="1042" spans="1:13" ht="11.4" customHeight="1">
      <c r="A1042" s="24" t="s">
        <v>2200</v>
      </c>
      <c r="B1042" s="24" t="s">
        <v>2092</v>
      </c>
      <c r="C1042" s="24">
        <v>0.5</v>
      </c>
      <c r="D1042" s="24">
        <v>1265</v>
      </c>
      <c r="E1042" s="24">
        <v>3300</v>
      </c>
      <c r="F1042" s="30" t="s">
        <v>1221</v>
      </c>
      <c r="G1042" s="24" t="s">
        <v>1222</v>
      </c>
      <c r="H1042" s="24" t="s">
        <v>1286</v>
      </c>
      <c r="I1042" s="24" t="s">
        <v>1237</v>
      </c>
      <c r="K1042" s="24" t="s">
        <v>1224</v>
      </c>
      <c r="L1042" s="24" t="s">
        <v>1225</v>
      </c>
      <c r="M1042" s="24" t="str">
        <f t="shared" si="16"/>
        <v>XWOPPR02</v>
      </c>
    </row>
    <row r="1043" spans="1:13" ht="11.4" customHeight="1">
      <c r="A1043" s="24" t="s">
        <v>2201</v>
      </c>
      <c r="B1043" s="24" t="s">
        <v>2092</v>
      </c>
      <c r="C1043" s="24">
        <v>0.5</v>
      </c>
      <c r="D1043" s="24">
        <v>50</v>
      </c>
      <c r="E1043" s="24">
        <v>123</v>
      </c>
      <c r="F1043" s="24">
        <v>0</v>
      </c>
      <c r="G1043" s="24" t="s">
        <v>1222</v>
      </c>
      <c r="H1043" s="24" t="s">
        <v>1662</v>
      </c>
      <c r="I1043" s="24" t="s">
        <v>1240</v>
      </c>
      <c r="J1043" s="24" t="s">
        <v>1122</v>
      </c>
      <c r="K1043" s="24" t="s">
        <v>1224</v>
      </c>
      <c r="L1043" s="24" t="s">
        <v>1615</v>
      </c>
      <c r="M1043" s="24" t="str">
        <f t="shared" si="16"/>
        <v>KWOPZS01</v>
      </c>
    </row>
    <row r="1044" spans="1:13" ht="11.4" customHeight="1">
      <c r="A1044" s="24" t="s">
        <v>2202</v>
      </c>
      <c r="B1044" s="24" t="s">
        <v>2092</v>
      </c>
      <c r="C1044" s="24">
        <v>0.5</v>
      </c>
      <c r="D1044" s="24">
        <v>1265</v>
      </c>
      <c r="E1044" s="24">
        <v>2520</v>
      </c>
      <c r="F1044" s="30" t="s">
        <v>1240</v>
      </c>
      <c r="G1044" s="24" t="s">
        <v>1222</v>
      </c>
      <c r="H1044" s="24" t="s">
        <v>1163</v>
      </c>
      <c r="I1044" s="24" t="s">
        <v>1240</v>
      </c>
      <c r="K1044" s="24" t="s">
        <v>1224</v>
      </c>
      <c r="L1044" s="24" t="s">
        <v>1225</v>
      </c>
      <c r="M1044" s="24" t="str">
        <f t="shared" si="16"/>
        <v>XWOPZW01</v>
      </c>
    </row>
    <row r="1045" spans="1:13" ht="11.4" customHeight="1">
      <c r="A1045" s="24" t="s">
        <v>1177</v>
      </c>
      <c r="B1045" s="24" t="s">
        <v>2092</v>
      </c>
      <c r="C1045" s="24">
        <v>0.5</v>
      </c>
      <c r="D1045" s="24">
        <v>1265</v>
      </c>
      <c r="E1045" s="24">
        <v>2520</v>
      </c>
      <c r="F1045" s="30" t="s">
        <v>1240</v>
      </c>
      <c r="G1045" s="24" t="s">
        <v>1222</v>
      </c>
      <c r="H1045" s="24" t="s">
        <v>1163</v>
      </c>
      <c r="I1045" s="24" t="s">
        <v>1240</v>
      </c>
      <c r="K1045" s="24" t="s">
        <v>1224</v>
      </c>
      <c r="L1045" s="24" t="s">
        <v>1225</v>
      </c>
      <c r="M1045" s="24" t="str">
        <f t="shared" si="16"/>
        <v>XWOPZW01</v>
      </c>
    </row>
    <row r="1046" spans="1:13" ht="11.4" customHeight="1">
      <c r="A1046" s="24" t="s">
        <v>2203</v>
      </c>
      <c r="B1046" s="24" t="s">
        <v>2092</v>
      </c>
      <c r="C1046" s="24">
        <v>0.5</v>
      </c>
      <c r="D1046" s="24">
        <v>1265</v>
      </c>
      <c r="E1046" s="24">
        <v>3100</v>
      </c>
      <c r="F1046" s="30" t="s">
        <v>1240</v>
      </c>
      <c r="G1046" s="24" t="s">
        <v>1222</v>
      </c>
      <c r="H1046" s="24" t="s">
        <v>1163</v>
      </c>
      <c r="I1046" s="24" t="s">
        <v>1240</v>
      </c>
      <c r="K1046" s="24" t="s">
        <v>1224</v>
      </c>
      <c r="L1046" s="24" t="s">
        <v>1225</v>
      </c>
      <c r="M1046" s="24" t="str">
        <f t="shared" si="16"/>
        <v>XWOPZW02</v>
      </c>
    </row>
    <row r="1047" spans="1:13" ht="11.4" customHeight="1">
      <c r="A1047" s="24" t="s">
        <v>1166</v>
      </c>
      <c r="B1047" s="24" t="s">
        <v>2092</v>
      </c>
      <c r="C1047" s="24">
        <v>0.5</v>
      </c>
      <c r="D1047" s="24">
        <v>1265</v>
      </c>
      <c r="E1047" s="24">
        <v>3100</v>
      </c>
      <c r="F1047" s="30" t="s">
        <v>1240</v>
      </c>
      <c r="G1047" s="24" t="s">
        <v>1222</v>
      </c>
      <c r="H1047" s="24" t="s">
        <v>1163</v>
      </c>
      <c r="I1047" s="24" t="s">
        <v>1240</v>
      </c>
      <c r="K1047" s="24" t="s">
        <v>1224</v>
      </c>
      <c r="L1047" s="24" t="s">
        <v>1225</v>
      </c>
      <c r="M1047" s="24" t="str">
        <f t="shared" si="16"/>
        <v>XWOPZW02</v>
      </c>
    </row>
    <row r="1048" spans="1:13" ht="11.4" customHeight="1">
      <c r="A1048" s="24" t="s">
        <v>2204</v>
      </c>
      <c r="B1048" s="24" t="s">
        <v>2092</v>
      </c>
      <c r="C1048" s="24">
        <v>0.5</v>
      </c>
      <c r="D1048" s="24">
        <v>1265</v>
      </c>
      <c r="E1048" s="24">
        <v>2520</v>
      </c>
      <c r="F1048" s="30" t="s">
        <v>1221</v>
      </c>
      <c r="G1048" s="24" t="s">
        <v>1342</v>
      </c>
      <c r="H1048" s="24" t="s">
        <v>1109</v>
      </c>
      <c r="I1048" s="24" t="s">
        <v>1230</v>
      </c>
      <c r="K1048" s="24" t="s">
        <v>1224</v>
      </c>
      <c r="L1048" s="24" t="s">
        <v>1225</v>
      </c>
      <c r="M1048" s="24" t="str">
        <f t="shared" si="16"/>
        <v>XWOQM101</v>
      </c>
    </row>
    <row r="1049" spans="1:13" ht="11.4" customHeight="1">
      <c r="A1049" s="24" t="s">
        <v>580</v>
      </c>
      <c r="B1049" s="24" t="s">
        <v>2092</v>
      </c>
      <c r="C1049" s="24">
        <v>0.5</v>
      </c>
      <c r="D1049" s="24">
        <v>1265</v>
      </c>
      <c r="E1049" s="24">
        <v>2520</v>
      </c>
      <c r="F1049" s="30" t="s">
        <v>1221</v>
      </c>
      <c r="G1049" s="24" t="s">
        <v>1342</v>
      </c>
      <c r="H1049" s="24" t="s">
        <v>1109</v>
      </c>
      <c r="I1049" s="24" t="s">
        <v>1230</v>
      </c>
      <c r="K1049" s="24" t="s">
        <v>1224</v>
      </c>
      <c r="L1049" s="24" t="s">
        <v>1225</v>
      </c>
      <c r="M1049" s="24" t="str">
        <f t="shared" si="16"/>
        <v>XWOQM101</v>
      </c>
    </row>
    <row r="1050" spans="1:13" ht="11.4" customHeight="1">
      <c r="A1050" s="24" t="s">
        <v>2205</v>
      </c>
      <c r="B1050" s="24" t="s">
        <v>2092</v>
      </c>
      <c r="C1050" s="24">
        <v>0.5</v>
      </c>
      <c r="D1050" s="24">
        <v>1265</v>
      </c>
      <c r="E1050" s="24">
        <v>3300</v>
      </c>
      <c r="F1050" s="30" t="s">
        <v>1221</v>
      </c>
      <c r="G1050" s="24" t="s">
        <v>1342</v>
      </c>
      <c r="H1050" s="24" t="s">
        <v>1109</v>
      </c>
      <c r="I1050" s="24" t="s">
        <v>1230</v>
      </c>
      <c r="K1050" s="24" t="s">
        <v>1224</v>
      </c>
      <c r="L1050" s="24" t="s">
        <v>1225</v>
      </c>
      <c r="M1050" s="24" t="str">
        <f t="shared" si="16"/>
        <v>XWOQM109</v>
      </c>
    </row>
    <row r="1051" spans="1:13" ht="11.4" customHeight="1">
      <c r="A1051" s="24" t="s">
        <v>559</v>
      </c>
      <c r="B1051" s="24" t="s">
        <v>2092</v>
      </c>
      <c r="C1051" s="24">
        <v>0.5</v>
      </c>
      <c r="D1051" s="24">
        <v>1265</v>
      </c>
      <c r="E1051" s="24">
        <v>3300</v>
      </c>
      <c r="F1051" s="30" t="s">
        <v>1221</v>
      </c>
      <c r="G1051" s="24" t="s">
        <v>1342</v>
      </c>
      <c r="H1051" s="24" t="s">
        <v>1109</v>
      </c>
      <c r="I1051" s="24" t="s">
        <v>1230</v>
      </c>
      <c r="K1051" s="24" t="s">
        <v>1224</v>
      </c>
      <c r="L1051" s="24" t="s">
        <v>1225</v>
      </c>
      <c r="M1051" s="24" t="str">
        <f t="shared" si="16"/>
        <v>XWOQM109</v>
      </c>
    </row>
    <row r="1052" spans="1:13" ht="11.4" customHeight="1">
      <c r="A1052" s="24" t="s">
        <v>2206</v>
      </c>
      <c r="B1052" s="24" t="s">
        <v>2092</v>
      </c>
      <c r="C1052" s="24">
        <v>0.5</v>
      </c>
      <c r="D1052" s="24">
        <v>1265</v>
      </c>
      <c r="E1052" s="24">
        <v>2520</v>
      </c>
      <c r="F1052" s="30" t="s">
        <v>1221</v>
      </c>
      <c r="G1052" s="24" t="s">
        <v>1342</v>
      </c>
      <c r="H1052" s="24" t="s">
        <v>1109</v>
      </c>
      <c r="I1052" s="24" t="s">
        <v>2207</v>
      </c>
      <c r="K1052" s="24" t="s">
        <v>1224</v>
      </c>
      <c r="L1052" s="24" t="s">
        <v>1225</v>
      </c>
      <c r="M1052" s="24" t="str">
        <f t="shared" si="16"/>
        <v>XWOQS102</v>
      </c>
    </row>
    <row r="1053" spans="1:13" ht="11.4" customHeight="1">
      <c r="A1053" s="24" t="s">
        <v>2208</v>
      </c>
      <c r="B1053" s="24" t="s">
        <v>2092</v>
      </c>
      <c r="C1053" s="24">
        <v>0.5</v>
      </c>
      <c r="D1053" s="24">
        <v>1265</v>
      </c>
      <c r="E1053" s="24">
        <v>2520</v>
      </c>
      <c r="F1053" s="30" t="s">
        <v>1221</v>
      </c>
      <c r="G1053" s="24" t="s">
        <v>1342</v>
      </c>
      <c r="H1053" s="24" t="s">
        <v>1109</v>
      </c>
      <c r="I1053" s="24" t="s">
        <v>2207</v>
      </c>
      <c r="K1053" s="24" t="s">
        <v>1224</v>
      </c>
      <c r="L1053" s="24" t="s">
        <v>1225</v>
      </c>
      <c r="M1053" s="24" t="str">
        <f t="shared" si="16"/>
        <v>XWOQS102</v>
      </c>
    </row>
    <row r="1054" spans="1:13" ht="11.4" customHeight="1">
      <c r="A1054" s="24" t="s">
        <v>2209</v>
      </c>
      <c r="B1054" s="24" t="s">
        <v>2092</v>
      </c>
      <c r="C1054" s="24">
        <v>0.5</v>
      </c>
      <c r="D1054" s="24">
        <v>1265</v>
      </c>
      <c r="E1054" s="24">
        <v>2520</v>
      </c>
      <c r="F1054" s="30" t="s">
        <v>1221</v>
      </c>
      <c r="G1054" s="24" t="s">
        <v>1342</v>
      </c>
      <c r="H1054" s="24" t="s">
        <v>2210</v>
      </c>
      <c r="I1054" s="24" t="s">
        <v>1230</v>
      </c>
      <c r="K1054" s="24" t="s">
        <v>1224</v>
      </c>
      <c r="L1054" s="24" t="s">
        <v>1225</v>
      </c>
      <c r="M1054" s="24" t="str">
        <f t="shared" si="16"/>
        <v>XWOQM102</v>
      </c>
    </row>
    <row r="1055" spans="1:13" ht="11.4" customHeight="1">
      <c r="A1055" s="24" t="s">
        <v>2211</v>
      </c>
      <c r="B1055" s="24" t="s">
        <v>2092</v>
      </c>
      <c r="C1055" s="24">
        <v>0.5</v>
      </c>
      <c r="D1055" s="24">
        <v>1265</v>
      </c>
      <c r="E1055" s="24">
        <v>2520</v>
      </c>
      <c r="F1055" s="30" t="s">
        <v>1221</v>
      </c>
      <c r="G1055" s="24" t="s">
        <v>1342</v>
      </c>
      <c r="H1055" s="24" t="s">
        <v>2210</v>
      </c>
      <c r="I1055" s="24" t="s">
        <v>1230</v>
      </c>
      <c r="K1055" s="24" t="s">
        <v>1224</v>
      </c>
      <c r="L1055" s="24" t="s">
        <v>1225</v>
      </c>
      <c r="M1055" s="24" t="str">
        <f t="shared" si="16"/>
        <v>XWOQM102</v>
      </c>
    </row>
    <row r="1056" spans="1:13" ht="11.4" customHeight="1">
      <c r="A1056" s="24" t="s">
        <v>2212</v>
      </c>
      <c r="B1056" s="24" t="s">
        <v>2092</v>
      </c>
      <c r="C1056" s="24">
        <v>0.5</v>
      </c>
      <c r="D1056" s="24">
        <v>1265</v>
      </c>
      <c r="E1056" s="24">
        <v>2520</v>
      </c>
      <c r="F1056" s="30" t="s">
        <v>1221</v>
      </c>
      <c r="G1056" s="24" t="s">
        <v>1342</v>
      </c>
      <c r="H1056" s="24" t="s">
        <v>1244</v>
      </c>
      <c r="I1056" s="24" t="s">
        <v>1230</v>
      </c>
      <c r="K1056" s="24" t="s">
        <v>1224</v>
      </c>
      <c r="L1056" s="24" t="s">
        <v>1225</v>
      </c>
      <c r="M1056" s="24" t="str">
        <f t="shared" si="16"/>
        <v>XWOQM201</v>
      </c>
    </row>
    <row r="1057" spans="1:13" ht="11.4" customHeight="1">
      <c r="A1057" s="24" t="s">
        <v>595</v>
      </c>
      <c r="B1057" s="24" t="s">
        <v>2092</v>
      </c>
      <c r="C1057" s="24">
        <v>0.5</v>
      </c>
      <c r="D1057" s="24">
        <v>1265</v>
      </c>
      <c r="E1057" s="24">
        <v>2520</v>
      </c>
      <c r="F1057" s="30" t="s">
        <v>1221</v>
      </c>
      <c r="G1057" s="24" t="s">
        <v>1342</v>
      </c>
      <c r="H1057" s="24" t="s">
        <v>1244</v>
      </c>
      <c r="I1057" s="24" t="s">
        <v>1230</v>
      </c>
      <c r="K1057" s="24" t="s">
        <v>1224</v>
      </c>
      <c r="L1057" s="24" t="s">
        <v>1225</v>
      </c>
      <c r="M1057" s="24" t="str">
        <f t="shared" si="16"/>
        <v>XWOQM201</v>
      </c>
    </row>
    <row r="1058" spans="1:13" ht="11.4" customHeight="1">
      <c r="A1058" s="24" t="s">
        <v>2213</v>
      </c>
      <c r="B1058" s="24" t="s">
        <v>2092</v>
      </c>
      <c r="C1058" s="24">
        <v>0.5</v>
      </c>
      <c r="D1058" s="24">
        <v>1265</v>
      </c>
      <c r="E1058" s="24">
        <v>2520</v>
      </c>
      <c r="F1058" s="30" t="s">
        <v>1252</v>
      </c>
      <c r="G1058" s="24" t="s">
        <v>1342</v>
      </c>
      <c r="H1058" s="24" t="s">
        <v>49</v>
      </c>
      <c r="I1058" s="24" t="s">
        <v>1223</v>
      </c>
      <c r="K1058" s="24" t="s">
        <v>1224</v>
      </c>
      <c r="L1058" s="24" t="s">
        <v>1225</v>
      </c>
      <c r="M1058" s="24" t="str">
        <f t="shared" si="16"/>
        <v>XWOQBA11</v>
      </c>
    </row>
    <row r="1059" spans="1:13" ht="11.4" customHeight="1">
      <c r="A1059" s="24" t="s">
        <v>2214</v>
      </c>
      <c r="B1059" s="24" t="s">
        <v>2092</v>
      </c>
      <c r="C1059" s="24">
        <v>0.5</v>
      </c>
      <c r="D1059" s="24">
        <v>1265</v>
      </c>
      <c r="E1059" s="24">
        <v>2520</v>
      </c>
      <c r="F1059" s="30" t="s">
        <v>1252</v>
      </c>
      <c r="G1059" s="24" t="s">
        <v>1342</v>
      </c>
      <c r="H1059" s="24" t="s">
        <v>49</v>
      </c>
      <c r="I1059" s="24" t="s">
        <v>1223</v>
      </c>
      <c r="K1059" s="24" t="s">
        <v>1224</v>
      </c>
      <c r="L1059" s="24" t="s">
        <v>1225</v>
      </c>
      <c r="M1059" s="24" t="str">
        <f t="shared" si="16"/>
        <v>XWOQBA11</v>
      </c>
    </row>
    <row r="1060" spans="1:13" ht="11.4" customHeight="1">
      <c r="A1060" s="24" t="s">
        <v>2215</v>
      </c>
      <c r="B1060" s="24" t="s">
        <v>2092</v>
      </c>
      <c r="C1060" s="24">
        <v>0.5</v>
      </c>
      <c r="D1060" s="24">
        <v>1265</v>
      </c>
      <c r="E1060" s="24">
        <v>2520</v>
      </c>
      <c r="F1060" s="30" t="s">
        <v>1221</v>
      </c>
      <c r="G1060" s="24" t="s">
        <v>1342</v>
      </c>
      <c r="H1060" s="24" t="s">
        <v>1221</v>
      </c>
      <c r="I1060" s="24" t="s">
        <v>1232</v>
      </c>
      <c r="K1060" s="24" t="s">
        <v>1224</v>
      </c>
      <c r="L1060" s="24" t="s">
        <v>1225</v>
      </c>
      <c r="M1060" s="24" t="str">
        <f t="shared" si="16"/>
        <v>XWOQSK01</v>
      </c>
    </row>
    <row r="1061" spans="1:13" ht="11.4" customHeight="1">
      <c r="A1061" s="24" t="s">
        <v>2216</v>
      </c>
      <c r="B1061" s="24" t="s">
        <v>2092</v>
      </c>
      <c r="C1061" s="24">
        <v>0.5</v>
      </c>
      <c r="D1061" s="24">
        <v>1265</v>
      </c>
      <c r="E1061" s="24">
        <v>2520</v>
      </c>
      <c r="F1061" s="30" t="s">
        <v>1221</v>
      </c>
      <c r="G1061" s="24" t="s">
        <v>1342</v>
      </c>
      <c r="H1061" s="24" t="s">
        <v>1221</v>
      </c>
      <c r="I1061" s="24" t="s">
        <v>1232</v>
      </c>
      <c r="K1061" s="24" t="s">
        <v>1224</v>
      </c>
      <c r="L1061" s="24" t="s">
        <v>1225</v>
      </c>
      <c r="M1061" s="24" t="str">
        <f t="shared" si="16"/>
        <v>XWOQSK01</v>
      </c>
    </row>
    <row r="1062" spans="1:13" ht="11.4" customHeight="1">
      <c r="A1062" s="24" t="s">
        <v>2217</v>
      </c>
      <c r="B1062" s="24" t="s">
        <v>2092</v>
      </c>
      <c r="C1062" s="24">
        <v>0.5</v>
      </c>
      <c r="D1062" s="24">
        <v>1265</v>
      </c>
      <c r="E1062" s="24">
        <v>2520</v>
      </c>
      <c r="F1062" s="30" t="s">
        <v>1221</v>
      </c>
      <c r="G1062" s="24" t="s">
        <v>1679</v>
      </c>
      <c r="H1062" s="24" t="s">
        <v>1109</v>
      </c>
      <c r="I1062" s="24" t="s">
        <v>1223</v>
      </c>
      <c r="K1062" s="24" t="s">
        <v>1224</v>
      </c>
      <c r="L1062" s="24" t="s">
        <v>1225</v>
      </c>
      <c r="M1062" s="24" t="str">
        <f t="shared" si="16"/>
        <v>XWOFB102</v>
      </c>
    </row>
    <row r="1063" spans="1:13" ht="11.4" customHeight="1">
      <c r="A1063" s="24" t="s">
        <v>2218</v>
      </c>
      <c r="B1063" s="24" t="s">
        <v>2092</v>
      </c>
      <c r="C1063" s="24">
        <v>0.5</v>
      </c>
      <c r="D1063" s="24">
        <v>1265</v>
      </c>
      <c r="E1063" s="24">
        <v>2520</v>
      </c>
      <c r="F1063" s="30" t="s">
        <v>1221</v>
      </c>
      <c r="G1063" s="24" t="s">
        <v>1679</v>
      </c>
      <c r="H1063" s="24" t="s">
        <v>1109</v>
      </c>
      <c r="I1063" s="24" t="s">
        <v>1223</v>
      </c>
      <c r="K1063" s="24" t="s">
        <v>1224</v>
      </c>
      <c r="L1063" s="24" t="s">
        <v>1225</v>
      </c>
      <c r="M1063" s="24" t="str">
        <f t="shared" si="16"/>
        <v>XWOFB102</v>
      </c>
    </row>
    <row r="1064" spans="1:13" ht="11.4" customHeight="1">
      <c r="A1064" s="24" t="s">
        <v>2219</v>
      </c>
      <c r="B1064" s="24" t="s">
        <v>2092</v>
      </c>
      <c r="C1064" s="24">
        <v>0.5</v>
      </c>
      <c r="D1064" s="24">
        <v>1265</v>
      </c>
      <c r="E1064" s="24">
        <v>3100</v>
      </c>
      <c r="F1064" s="30" t="s">
        <v>1221</v>
      </c>
      <c r="G1064" s="24" t="s">
        <v>1679</v>
      </c>
      <c r="H1064" s="24" t="s">
        <v>1109</v>
      </c>
      <c r="I1064" s="24" t="s">
        <v>1223</v>
      </c>
      <c r="K1064" s="24" t="s">
        <v>1224</v>
      </c>
      <c r="L1064" s="24" t="s">
        <v>1225</v>
      </c>
      <c r="M1064" s="24" t="str">
        <f t="shared" si="16"/>
        <v>XWOFB101</v>
      </c>
    </row>
    <row r="1065" spans="1:13" ht="11.4" customHeight="1">
      <c r="A1065" s="24" t="s">
        <v>2220</v>
      </c>
      <c r="B1065" s="24" t="s">
        <v>2092</v>
      </c>
      <c r="C1065" s="24">
        <v>0.5</v>
      </c>
      <c r="D1065" s="24">
        <v>1265</v>
      </c>
      <c r="E1065" s="24">
        <v>3100</v>
      </c>
      <c r="F1065" s="30" t="s">
        <v>1221</v>
      </c>
      <c r="G1065" s="24" t="s">
        <v>1679</v>
      </c>
      <c r="H1065" s="24" t="s">
        <v>1109</v>
      </c>
      <c r="I1065" s="24" t="s">
        <v>1223</v>
      </c>
      <c r="K1065" s="24" t="s">
        <v>1224</v>
      </c>
      <c r="L1065" s="24" t="s">
        <v>1225</v>
      </c>
      <c r="M1065" s="24" t="str">
        <f t="shared" si="16"/>
        <v>XWOFB101</v>
      </c>
    </row>
    <row r="1066" spans="1:13" ht="11.4" customHeight="1">
      <c r="A1066" s="24" t="s">
        <v>1203</v>
      </c>
      <c r="B1066" s="24" t="s">
        <v>2092</v>
      </c>
      <c r="C1066" s="24">
        <v>0.5</v>
      </c>
      <c r="D1066" s="24">
        <v>1265</v>
      </c>
      <c r="E1066" s="24">
        <v>2520</v>
      </c>
      <c r="F1066" s="30" t="s">
        <v>1221</v>
      </c>
      <c r="G1066" s="24" t="s">
        <v>1679</v>
      </c>
      <c r="H1066" s="24" t="s">
        <v>1109</v>
      </c>
      <c r="I1066" s="24" t="s">
        <v>1230</v>
      </c>
      <c r="K1066" s="24" t="s">
        <v>1224</v>
      </c>
      <c r="L1066" s="24" t="s">
        <v>1225</v>
      </c>
      <c r="M1066" s="24" t="str">
        <f t="shared" si="16"/>
        <v>XWOFM101</v>
      </c>
    </row>
    <row r="1067" spans="1:13" ht="11.4" customHeight="1">
      <c r="A1067" s="24" t="s">
        <v>2221</v>
      </c>
      <c r="B1067" s="24" t="s">
        <v>2092</v>
      </c>
      <c r="C1067" s="24">
        <v>0.5</v>
      </c>
      <c r="D1067" s="24">
        <v>1265</v>
      </c>
      <c r="E1067" s="24">
        <v>2520</v>
      </c>
      <c r="F1067" s="30" t="s">
        <v>1221</v>
      </c>
      <c r="G1067" s="24" t="s">
        <v>1679</v>
      </c>
      <c r="H1067" s="24" t="s">
        <v>1109</v>
      </c>
      <c r="I1067" s="24" t="s">
        <v>1230</v>
      </c>
      <c r="J1067" s="24" t="s">
        <v>1122</v>
      </c>
      <c r="K1067" s="24" t="s">
        <v>1224</v>
      </c>
      <c r="L1067" s="24" t="s">
        <v>1225</v>
      </c>
      <c r="M1067" s="24" t="str">
        <f t="shared" si="16"/>
        <v>XWOFM104</v>
      </c>
    </row>
    <row r="1068" spans="1:13" ht="11.4" customHeight="1">
      <c r="A1068" s="24" t="s">
        <v>555</v>
      </c>
      <c r="B1068" s="24" t="s">
        <v>2092</v>
      </c>
      <c r="C1068" s="24">
        <v>0.5</v>
      </c>
      <c r="D1068" s="24">
        <v>1265</v>
      </c>
      <c r="E1068" s="24">
        <v>2520</v>
      </c>
      <c r="F1068" s="30" t="s">
        <v>1221</v>
      </c>
      <c r="G1068" s="24" t="s">
        <v>1679</v>
      </c>
      <c r="H1068" s="24" t="s">
        <v>1109</v>
      </c>
      <c r="I1068" s="24" t="s">
        <v>1230</v>
      </c>
      <c r="K1068" s="24" t="s">
        <v>1224</v>
      </c>
      <c r="L1068" s="24" t="s">
        <v>1225</v>
      </c>
      <c r="M1068" s="24" t="str">
        <f t="shared" si="16"/>
        <v>XWOFM101</v>
      </c>
    </row>
    <row r="1069" spans="1:13" ht="11.4" customHeight="1">
      <c r="A1069" s="24" t="s">
        <v>2222</v>
      </c>
      <c r="B1069" s="24" t="s">
        <v>2092</v>
      </c>
      <c r="C1069" s="24">
        <v>0.5</v>
      </c>
      <c r="D1069" s="24">
        <v>1265</v>
      </c>
      <c r="E1069" s="24">
        <v>2520</v>
      </c>
      <c r="F1069" s="30" t="s">
        <v>1221</v>
      </c>
      <c r="G1069" s="24" t="s">
        <v>1679</v>
      </c>
      <c r="H1069" s="24" t="s">
        <v>1109</v>
      </c>
      <c r="I1069" s="24" t="s">
        <v>1230</v>
      </c>
      <c r="J1069" s="24" t="s">
        <v>1122</v>
      </c>
      <c r="K1069" s="24" t="s">
        <v>1224</v>
      </c>
      <c r="L1069" s="24" t="s">
        <v>1225</v>
      </c>
      <c r="M1069" s="24" t="str">
        <f t="shared" si="16"/>
        <v>XWOFM104</v>
      </c>
    </row>
    <row r="1070" spans="1:13" ht="11.4" customHeight="1">
      <c r="A1070" s="24" t="s">
        <v>2223</v>
      </c>
      <c r="B1070" s="24" t="s">
        <v>2092</v>
      </c>
      <c r="C1070" s="24">
        <v>0.5</v>
      </c>
      <c r="D1070" s="24">
        <v>1265</v>
      </c>
      <c r="E1070" s="24">
        <v>3300</v>
      </c>
      <c r="F1070" s="24" t="s">
        <v>1221</v>
      </c>
      <c r="G1070" s="24" t="s">
        <v>1679</v>
      </c>
      <c r="H1070" s="24" t="s">
        <v>1109</v>
      </c>
      <c r="I1070" s="24" t="s">
        <v>1230</v>
      </c>
      <c r="K1070" s="24" t="s">
        <v>1224</v>
      </c>
      <c r="L1070" s="24" t="s">
        <v>1225</v>
      </c>
      <c r="M1070" s="24" t="str">
        <f t="shared" si="16"/>
        <v>XWOFM102</v>
      </c>
    </row>
    <row r="1071" spans="1:13" ht="11.4" customHeight="1">
      <c r="A1071" s="24" t="s">
        <v>2224</v>
      </c>
      <c r="B1071" s="24" t="s">
        <v>2092</v>
      </c>
      <c r="C1071" s="24">
        <v>0.5</v>
      </c>
      <c r="D1071" s="24">
        <v>1265</v>
      </c>
      <c r="E1071" s="24">
        <v>3300</v>
      </c>
      <c r="F1071" s="24" t="s">
        <v>1221</v>
      </c>
      <c r="G1071" s="24" t="s">
        <v>1679</v>
      </c>
      <c r="H1071" s="24" t="s">
        <v>1109</v>
      </c>
      <c r="I1071" s="24" t="s">
        <v>1230</v>
      </c>
      <c r="K1071" s="24" t="s">
        <v>1224</v>
      </c>
      <c r="L1071" s="24" t="s">
        <v>1225</v>
      </c>
      <c r="M1071" s="24" t="str">
        <f t="shared" si="16"/>
        <v>XWOFM103</v>
      </c>
    </row>
    <row r="1072" spans="1:13" ht="11.4" customHeight="1">
      <c r="A1072" s="24" t="s">
        <v>633</v>
      </c>
      <c r="B1072" s="24" t="s">
        <v>2092</v>
      </c>
      <c r="C1072" s="24">
        <v>0.5</v>
      </c>
      <c r="D1072" s="24">
        <v>1265</v>
      </c>
      <c r="E1072" s="24">
        <v>3300</v>
      </c>
      <c r="F1072" s="30" t="s">
        <v>1221</v>
      </c>
      <c r="G1072" s="24" t="s">
        <v>1679</v>
      </c>
      <c r="H1072" s="24" t="s">
        <v>1109</v>
      </c>
      <c r="I1072" s="24" t="s">
        <v>1230</v>
      </c>
      <c r="K1072" s="24" t="s">
        <v>1224</v>
      </c>
      <c r="L1072" s="24" t="s">
        <v>1225</v>
      </c>
      <c r="M1072" s="24" t="str">
        <f t="shared" si="16"/>
        <v>XWOFM102</v>
      </c>
    </row>
    <row r="1073" spans="1:13" ht="11.4" customHeight="1">
      <c r="A1073" s="24" t="s">
        <v>2225</v>
      </c>
      <c r="B1073" s="24" t="s">
        <v>2092</v>
      </c>
      <c r="C1073" s="24">
        <v>0.5</v>
      </c>
      <c r="D1073" s="24">
        <v>1265</v>
      </c>
      <c r="E1073" s="24">
        <v>3300</v>
      </c>
      <c r="F1073" s="30" t="s">
        <v>1221</v>
      </c>
      <c r="G1073" s="24" t="s">
        <v>1679</v>
      </c>
      <c r="H1073" s="24" t="s">
        <v>1109</v>
      </c>
      <c r="I1073" s="24" t="s">
        <v>1230</v>
      </c>
      <c r="J1073" s="24" t="s">
        <v>1122</v>
      </c>
      <c r="K1073" s="24" t="s">
        <v>1224</v>
      </c>
      <c r="L1073" s="24" t="s">
        <v>1225</v>
      </c>
      <c r="M1073" s="24" t="str">
        <f t="shared" si="16"/>
        <v>XWOFM103</v>
      </c>
    </row>
    <row r="1074" spans="1:13" ht="11.4" customHeight="1">
      <c r="A1074" s="24" t="s">
        <v>2226</v>
      </c>
      <c r="B1074" s="24" t="s">
        <v>2092</v>
      </c>
      <c r="C1074" s="24">
        <v>0.5</v>
      </c>
      <c r="D1074" s="24">
        <v>1265</v>
      </c>
      <c r="E1074" s="24">
        <v>2520</v>
      </c>
      <c r="F1074" s="30" t="s">
        <v>1221</v>
      </c>
      <c r="G1074" s="24" t="s">
        <v>1679</v>
      </c>
      <c r="H1074" s="24" t="s">
        <v>1109</v>
      </c>
      <c r="I1074" s="24" t="s">
        <v>1232</v>
      </c>
      <c r="K1074" s="24" t="s">
        <v>1224</v>
      </c>
      <c r="L1074" s="24" t="s">
        <v>1225</v>
      </c>
      <c r="M1074" s="24" t="str">
        <f t="shared" si="16"/>
        <v>XWOFS103</v>
      </c>
    </row>
    <row r="1075" spans="1:13" ht="11.4" customHeight="1">
      <c r="A1075" s="24" t="s">
        <v>2227</v>
      </c>
      <c r="B1075" s="24" t="s">
        <v>2092</v>
      </c>
      <c r="C1075" s="24">
        <v>0.5</v>
      </c>
      <c r="D1075" s="24">
        <v>1265</v>
      </c>
      <c r="E1075" s="24">
        <v>2520</v>
      </c>
      <c r="F1075" s="30" t="s">
        <v>1221</v>
      </c>
      <c r="G1075" s="24" t="s">
        <v>1679</v>
      </c>
      <c r="H1075" s="24" t="s">
        <v>1109</v>
      </c>
      <c r="I1075" s="24" t="s">
        <v>1232</v>
      </c>
      <c r="K1075" s="24" t="s">
        <v>1224</v>
      </c>
      <c r="L1075" s="24" t="s">
        <v>1225</v>
      </c>
      <c r="M1075" s="24" t="str">
        <f t="shared" si="16"/>
        <v>XWOFS103</v>
      </c>
    </row>
    <row r="1076" spans="1:13" ht="11.4" customHeight="1">
      <c r="A1076" s="24" t="s">
        <v>2228</v>
      </c>
      <c r="B1076" s="24" t="s">
        <v>2092</v>
      </c>
      <c r="C1076" s="24">
        <v>0.5</v>
      </c>
      <c r="D1076" s="24">
        <v>1265</v>
      </c>
      <c r="E1076" s="24">
        <v>3100</v>
      </c>
      <c r="F1076" s="30" t="s">
        <v>1221</v>
      </c>
      <c r="G1076" s="24" t="s">
        <v>1679</v>
      </c>
      <c r="H1076" s="24" t="s">
        <v>1109</v>
      </c>
      <c r="I1076" s="24" t="s">
        <v>1232</v>
      </c>
      <c r="K1076" s="24" t="s">
        <v>1224</v>
      </c>
      <c r="L1076" s="24" t="s">
        <v>1225</v>
      </c>
      <c r="M1076" s="24" t="str">
        <f t="shared" si="16"/>
        <v>XWOFS101</v>
      </c>
    </row>
    <row r="1077" spans="1:13" ht="11.4" customHeight="1">
      <c r="A1077" s="24" t="s">
        <v>2229</v>
      </c>
      <c r="B1077" s="24" t="s">
        <v>2092</v>
      </c>
      <c r="C1077" s="24">
        <v>0.5</v>
      </c>
      <c r="D1077" s="24">
        <v>1265</v>
      </c>
      <c r="E1077" s="24">
        <v>3100</v>
      </c>
      <c r="F1077" s="30" t="s">
        <v>1221</v>
      </c>
      <c r="G1077" s="24" t="s">
        <v>1679</v>
      </c>
      <c r="H1077" s="24" t="s">
        <v>1109</v>
      </c>
      <c r="I1077" s="24" t="s">
        <v>1232</v>
      </c>
      <c r="K1077" s="24" t="s">
        <v>1224</v>
      </c>
      <c r="L1077" s="24" t="s">
        <v>1225</v>
      </c>
      <c r="M1077" s="24" t="str">
        <f t="shared" si="16"/>
        <v>XWOFS101</v>
      </c>
    </row>
    <row r="1078" spans="1:13" ht="11.4" customHeight="1">
      <c r="A1078" s="24" t="s">
        <v>2230</v>
      </c>
      <c r="B1078" s="24" t="s">
        <v>2092</v>
      </c>
      <c r="C1078" s="24">
        <v>0.5</v>
      </c>
      <c r="D1078" s="24">
        <v>1265</v>
      </c>
      <c r="E1078" s="24">
        <v>3300</v>
      </c>
      <c r="F1078" s="24" t="s">
        <v>1221</v>
      </c>
      <c r="G1078" s="24" t="s">
        <v>1679</v>
      </c>
      <c r="H1078" s="24" t="s">
        <v>1109</v>
      </c>
      <c r="I1078" s="24" t="s">
        <v>1232</v>
      </c>
      <c r="K1078" s="24" t="s">
        <v>1224</v>
      </c>
      <c r="L1078" s="24" t="s">
        <v>1225</v>
      </c>
      <c r="M1078" s="24" t="str">
        <f t="shared" si="16"/>
        <v>XWOFS102</v>
      </c>
    </row>
    <row r="1079" spans="1:13" ht="11.4" customHeight="1">
      <c r="A1079" s="24" t="s">
        <v>2231</v>
      </c>
      <c r="B1079" s="24" t="s">
        <v>2092</v>
      </c>
      <c r="C1079" s="24">
        <v>0.5</v>
      </c>
      <c r="D1079" s="24">
        <v>1265</v>
      </c>
      <c r="E1079" s="24">
        <v>3300</v>
      </c>
      <c r="F1079" s="30" t="s">
        <v>1221</v>
      </c>
      <c r="G1079" s="24" t="s">
        <v>1679</v>
      </c>
      <c r="H1079" s="24" t="s">
        <v>1109</v>
      </c>
      <c r="I1079" s="24" t="s">
        <v>1232</v>
      </c>
      <c r="K1079" s="24" t="s">
        <v>1224</v>
      </c>
      <c r="L1079" s="24" t="s">
        <v>1225</v>
      </c>
      <c r="M1079" s="24" t="str">
        <f t="shared" si="16"/>
        <v>XWOFS102</v>
      </c>
    </row>
    <row r="1080" spans="1:13" ht="11.4" customHeight="1">
      <c r="A1080" s="24" t="s">
        <v>2232</v>
      </c>
      <c r="B1080" s="24" t="s">
        <v>2092</v>
      </c>
      <c r="C1080" s="24">
        <v>0.5</v>
      </c>
      <c r="D1080" s="24">
        <v>1265</v>
      </c>
      <c r="E1080" s="24">
        <v>2520</v>
      </c>
      <c r="F1080" s="30" t="s">
        <v>1601</v>
      </c>
      <c r="G1080" s="24" t="s">
        <v>1679</v>
      </c>
      <c r="H1080" s="24" t="s">
        <v>1244</v>
      </c>
      <c r="I1080" s="24" t="s">
        <v>1223</v>
      </c>
      <c r="J1080" s="24" t="s">
        <v>1122</v>
      </c>
      <c r="K1080" s="24" t="s">
        <v>1224</v>
      </c>
      <c r="L1080" s="24" t="s">
        <v>1225</v>
      </c>
      <c r="M1080" s="24" t="str">
        <f t="shared" si="16"/>
        <v>XWOFB203</v>
      </c>
    </row>
    <row r="1081" spans="1:13" ht="11.4" customHeight="1">
      <c r="A1081" s="24" t="s">
        <v>2233</v>
      </c>
      <c r="B1081" s="24" t="s">
        <v>2092</v>
      </c>
      <c r="C1081" s="24">
        <v>0.5</v>
      </c>
      <c r="D1081" s="24">
        <v>1265</v>
      </c>
      <c r="E1081" s="24">
        <v>2520</v>
      </c>
      <c r="F1081" s="30" t="s">
        <v>1601</v>
      </c>
      <c r="G1081" s="24" t="s">
        <v>1679</v>
      </c>
      <c r="H1081" s="24" t="s">
        <v>1244</v>
      </c>
      <c r="I1081" s="24" t="s">
        <v>1223</v>
      </c>
      <c r="J1081" s="24" t="s">
        <v>1122</v>
      </c>
      <c r="K1081" s="24" t="s">
        <v>1224</v>
      </c>
      <c r="L1081" s="24" t="s">
        <v>1225</v>
      </c>
      <c r="M1081" s="24" t="str">
        <f t="shared" si="16"/>
        <v>XWOFB203</v>
      </c>
    </row>
    <row r="1082" spans="1:13" ht="11.4" customHeight="1">
      <c r="A1082" s="24" t="s">
        <v>2234</v>
      </c>
      <c r="B1082" s="24" t="s">
        <v>2092</v>
      </c>
      <c r="C1082" s="24">
        <v>0.5</v>
      </c>
      <c r="D1082" s="24">
        <v>1265</v>
      </c>
      <c r="E1082" s="24">
        <v>3100</v>
      </c>
      <c r="F1082" s="30" t="s">
        <v>1601</v>
      </c>
      <c r="G1082" s="24" t="s">
        <v>1679</v>
      </c>
      <c r="H1082" s="24" t="s">
        <v>1244</v>
      </c>
      <c r="I1082" s="24" t="s">
        <v>1223</v>
      </c>
      <c r="J1082" s="24" t="s">
        <v>1122</v>
      </c>
      <c r="K1082" s="24" t="s">
        <v>1224</v>
      </c>
      <c r="L1082" s="24" t="s">
        <v>1225</v>
      </c>
      <c r="M1082" s="24" t="str">
        <f t="shared" si="16"/>
        <v>XWOFB202</v>
      </c>
    </row>
    <row r="1083" spans="1:13" ht="11.4" customHeight="1">
      <c r="A1083" s="24" t="s">
        <v>2235</v>
      </c>
      <c r="B1083" s="24" t="s">
        <v>2092</v>
      </c>
      <c r="C1083" s="24">
        <v>0.5</v>
      </c>
      <c r="D1083" s="24">
        <v>1265</v>
      </c>
      <c r="E1083" s="24">
        <v>3100</v>
      </c>
      <c r="F1083" s="30" t="s">
        <v>1601</v>
      </c>
      <c r="G1083" s="24" t="s">
        <v>1679</v>
      </c>
      <c r="H1083" s="24" t="s">
        <v>1244</v>
      </c>
      <c r="I1083" s="24" t="s">
        <v>1223</v>
      </c>
      <c r="J1083" s="24" t="s">
        <v>1122</v>
      </c>
      <c r="K1083" s="24" t="s">
        <v>1224</v>
      </c>
      <c r="L1083" s="24" t="s">
        <v>1225</v>
      </c>
      <c r="M1083" s="24" t="str">
        <f t="shared" si="16"/>
        <v>XWOFB202</v>
      </c>
    </row>
    <row r="1084" spans="1:13" ht="11.4" customHeight="1">
      <c r="A1084" s="24" t="s">
        <v>1200</v>
      </c>
      <c r="B1084" s="24" t="s">
        <v>2092</v>
      </c>
      <c r="C1084" s="24">
        <v>0.5</v>
      </c>
      <c r="D1084" s="24">
        <v>1265</v>
      </c>
      <c r="E1084" s="24">
        <v>2520</v>
      </c>
      <c r="F1084" s="30" t="s">
        <v>1221</v>
      </c>
      <c r="G1084" s="24" t="s">
        <v>1679</v>
      </c>
      <c r="H1084" s="24" t="s">
        <v>1244</v>
      </c>
      <c r="I1084" s="24" t="s">
        <v>1230</v>
      </c>
      <c r="K1084" s="24" t="s">
        <v>1224</v>
      </c>
      <c r="L1084" s="24" t="s">
        <v>1225</v>
      </c>
      <c r="M1084" s="24" t="str">
        <f t="shared" si="16"/>
        <v>XWOFM206</v>
      </c>
    </row>
    <row r="1085" spans="1:13" ht="11.4" customHeight="1">
      <c r="A1085" s="24" t="s">
        <v>2236</v>
      </c>
      <c r="B1085" s="24" t="s">
        <v>2092</v>
      </c>
      <c r="C1085" s="24">
        <v>0.5</v>
      </c>
      <c r="D1085" s="24">
        <v>1265</v>
      </c>
      <c r="E1085" s="24">
        <v>2520</v>
      </c>
      <c r="F1085" s="30" t="s">
        <v>1221</v>
      </c>
      <c r="G1085" s="24" t="s">
        <v>1679</v>
      </c>
      <c r="H1085" s="24" t="s">
        <v>1244</v>
      </c>
      <c r="I1085" s="24" t="s">
        <v>1230</v>
      </c>
      <c r="K1085" s="24" t="s">
        <v>1224</v>
      </c>
      <c r="L1085" s="24" t="s">
        <v>1225</v>
      </c>
      <c r="M1085" s="24" t="str">
        <f t="shared" si="16"/>
        <v>XWOFM206</v>
      </c>
    </row>
    <row r="1086" spans="1:13" ht="11.4" customHeight="1">
      <c r="A1086" s="24" t="s">
        <v>2237</v>
      </c>
      <c r="B1086" s="24" t="s">
        <v>2092</v>
      </c>
      <c r="C1086" s="24">
        <v>0.5</v>
      </c>
      <c r="D1086" s="24">
        <v>1265</v>
      </c>
      <c r="E1086" s="24">
        <v>2520</v>
      </c>
      <c r="F1086" s="30" t="s">
        <v>1221</v>
      </c>
      <c r="G1086" s="24" t="s">
        <v>1679</v>
      </c>
      <c r="H1086" s="24" t="s">
        <v>1244</v>
      </c>
      <c r="I1086" s="24" t="s">
        <v>1232</v>
      </c>
      <c r="K1086" s="24" t="s">
        <v>1224</v>
      </c>
      <c r="L1086" s="24" t="s">
        <v>1225</v>
      </c>
      <c r="M1086" s="24" t="str">
        <f t="shared" si="16"/>
        <v>XWOFS201</v>
      </c>
    </row>
    <row r="1087" spans="1:13" ht="11.4" customHeight="1">
      <c r="A1087" s="24" t="s">
        <v>2238</v>
      </c>
      <c r="B1087" s="24" t="s">
        <v>2092</v>
      </c>
      <c r="C1087" s="24">
        <v>0.5</v>
      </c>
      <c r="D1087" s="24">
        <v>1265</v>
      </c>
      <c r="E1087" s="24">
        <v>2520</v>
      </c>
      <c r="F1087" s="30" t="s">
        <v>1221</v>
      </c>
      <c r="G1087" s="24" t="s">
        <v>1679</v>
      </c>
      <c r="H1087" s="24" t="s">
        <v>1244</v>
      </c>
      <c r="I1087" s="24" t="s">
        <v>1232</v>
      </c>
      <c r="K1087" s="24" t="s">
        <v>1224</v>
      </c>
      <c r="L1087" s="24" t="s">
        <v>1225</v>
      </c>
      <c r="M1087" s="24" t="str">
        <f t="shared" si="16"/>
        <v>XWOFS201</v>
      </c>
    </row>
    <row r="1088" spans="1:13" ht="11.4" customHeight="1">
      <c r="A1088" s="24" t="s">
        <v>2239</v>
      </c>
      <c r="B1088" s="24" t="s">
        <v>2092</v>
      </c>
      <c r="C1088" s="24">
        <v>0.5</v>
      </c>
      <c r="D1088" s="24">
        <v>50</v>
      </c>
      <c r="E1088" s="24">
        <v>99</v>
      </c>
      <c r="F1088" s="24">
        <v>0</v>
      </c>
      <c r="G1088" s="24" t="s">
        <v>1679</v>
      </c>
      <c r="H1088" s="24" t="s">
        <v>49</v>
      </c>
      <c r="I1088" s="24" t="s">
        <v>1223</v>
      </c>
      <c r="J1088" s="24" t="s">
        <v>1122</v>
      </c>
      <c r="K1088" s="24" t="s">
        <v>1224</v>
      </c>
      <c r="L1088" s="24" t="s">
        <v>1615</v>
      </c>
      <c r="M1088" s="24" t="str">
        <f t="shared" si="16"/>
        <v>KWOFBA05</v>
      </c>
    </row>
    <row r="1089" spans="1:13" ht="11.4" customHeight="1">
      <c r="A1089" s="24" t="s">
        <v>2240</v>
      </c>
      <c r="B1089" s="24" t="s">
        <v>2092</v>
      </c>
      <c r="C1089" s="24">
        <v>0.5</v>
      </c>
      <c r="D1089" s="24">
        <v>50</v>
      </c>
      <c r="E1089" s="24">
        <v>123</v>
      </c>
      <c r="F1089" s="24">
        <v>0</v>
      </c>
      <c r="G1089" s="24" t="s">
        <v>1679</v>
      </c>
      <c r="H1089" s="24" t="s">
        <v>49</v>
      </c>
      <c r="I1089" s="24" t="s">
        <v>1223</v>
      </c>
      <c r="J1089" s="24" t="s">
        <v>1122</v>
      </c>
      <c r="K1089" s="24" t="s">
        <v>1224</v>
      </c>
      <c r="L1089" s="24" t="s">
        <v>1615</v>
      </c>
      <c r="M1089" s="24" t="str">
        <f t="shared" si="16"/>
        <v>KWOFBA07</v>
      </c>
    </row>
    <row r="1090" spans="1:13" ht="11.4" customHeight="1">
      <c r="A1090" s="24" t="s">
        <v>2241</v>
      </c>
      <c r="B1090" s="24" t="s">
        <v>2092</v>
      </c>
      <c r="C1090" s="24">
        <v>0.5</v>
      </c>
      <c r="D1090" s="24">
        <v>1265</v>
      </c>
      <c r="E1090" s="24">
        <v>2200</v>
      </c>
      <c r="F1090" s="30" t="s">
        <v>1252</v>
      </c>
      <c r="G1090" s="24" t="s">
        <v>1679</v>
      </c>
      <c r="H1090" s="24" t="s">
        <v>49</v>
      </c>
      <c r="I1090" s="24" t="s">
        <v>1223</v>
      </c>
      <c r="K1090" s="24" t="s">
        <v>1224</v>
      </c>
      <c r="L1090" s="24" t="s">
        <v>1225</v>
      </c>
      <c r="M1090" s="24" t="str">
        <f t="shared" si="16"/>
        <v>XWOFBA07</v>
      </c>
    </row>
    <row r="1091" spans="1:13" ht="11.4" customHeight="1">
      <c r="A1091" s="24" t="s">
        <v>2242</v>
      </c>
      <c r="B1091" s="24" t="s">
        <v>2092</v>
      </c>
      <c r="C1091" s="24">
        <v>0.5</v>
      </c>
      <c r="D1091" s="24">
        <v>1265</v>
      </c>
      <c r="E1091" s="24">
        <v>2200</v>
      </c>
      <c r="F1091" s="30" t="s">
        <v>1252</v>
      </c>
      <c r="G1091" s="24" t="s">
        <v>1679</v>
      </c>
      <c r="H1091" s="24" t="s">
        <v>49</v>
      </c>
      <c r="I1091" s="24" t="s">
        <v>1223</v>
      </c>
      <c r="K1091" s="24" t="s">
        <v>1224</v>
      </c>
      <c r="L1091" s="24" t="s">
        <v>1225</v>
      </c>
      <c r="M1091" s="24" t="str">
        <f t="shared" si="16"/>
        <v>XWOFBA07</v>
      </c>
    </row>
    <row r="1092" spans="1:13" ht="11.4" customHeight="1">
      <c r="A1092" s="24" t="s">
        <v>1204</v>
      </c>
      <c r="B1092" s="24" t="s">
        <v>2092</v>
      </c>
      <c r="C1092" s="24">
        <v>0.5</v>
      </c>
      <c r="D1092" s="24">
        <v>1265</v>
      </c>
      <c r="E1092" s="24">
        <v>2520</v>
      </c>
      <c r="F1092" s="30" t="s">
        <v>1252</v>
      </c>
      <c r="G1092" s="24" t="s">
        <v>1679</v>
      </c>
      <c r="H1092" s="24" t="s">
        <v>49</v>
      </c>
      <c r="I1092" s="24" t="s">
        <v>1223</v>
      </c>
      <c r="K1092" s="24" t="s">
        <v>1224</v>
      </c>
      <c r="L1092" s="24" t="s">
        <v>1225</v>
      </c>
      <c r="M1092" s="24" t="str">
        <f t="shared" ref="M1092:M1155" si="17">RIGHT(A1092,8)</f>
        <v>XWOFBA01</v>
      </c>
    </row>
    <row r="1093" spans="1:13" ht="11.4" customHeight="1">
      <c r="A1093" s="24" t="s">
        <v>2243</v>
      </c>
      <c r="B1093" s="24" t="s">
        <v>2092</v>
      </c>
      <c r="C1093" s="24">
        <v>0.5</v>
      </c>
      <c r="D1093" s="24">
        <v>1265</v>
      </c>
      <c r="E1093" s="24">
        <v>2520</v>
      </c>
      <c r="F1093" s="30" t="s">
        <v>1620</v>
      </c>
      <c r="G1093" s="24" t="s">
        <v>1679</v>
      </c>
      <c r="H1093" s="24" t="s">
        <v>49</v>
      </c>
      <c r="I1093" s="24" t="s">
        <v>1223</v>
      </c>
      <c r="J1093" s="24" t="s">
        <v>1122</v>
      </c>
      <c r="K1093" s="24" t="s">
        <v>1224</v>
      </c>
      <c r="L1093" s="24" t="s">
        <v>1225</v>
      </c>
      <c r="M1093" s="24" t="str">
        <f t="shared" si="17"/>
        <v>XWOFBA12</v>
      </c>
    </row>
    <row r="1094" spans="1:13" ht="11.4" customHeight="1">
      <c r="A1094" s="24" t="s">
        <v>594</v>
      </c>
      <c r="B1094" s="24" t="s">
        <v>2092</v>
      </c>
      <c r="C1094" s="24">
        <v>0.5</v>
      </c>
      <c r="D1094" s="24">
        <v>1265</v>
      </c>
      <c r="E1094" s="24">
        <v>2520</v>
      </c>
      <c r="F1094" s="30" t="s">
        <v>1252</v>
      </c>
      <c r="G1094" s="24" t="s">
        <v>1679</v>
      </c>
      <c r="H1094" s="24" t="s">
        <v>49</v>
      </c>
      <c r="I1094" s="24" t="s">
        <v>1223</v>
      </c>
      <c r="K1094" s="24" t="s">
        <v>1224</v>
      </c>
      <c r="L1094" s="24" t="s">
        <v>1225</v>
      </c>
      <c r="M1094" s="24" t="str">
        <f t="shared" si="17"/>
        <v>XWOFBA01</v>
      </c>
    </row>
    <row r="1095" spans="1:13" ht="11.4" customHeight="1">
      <c r="A1095" s="24" t="s">
        <v>2244</v>
      </c>
      <c r="B1095" s="24" t="s">
        <v>2092</v>
      </c>
      <c r="C1095" s="24">
        <v>0.5</v>
      </c>
      <c r="D1095" s="24">
        <v>1265</v>
      </c>
      <c r="E1095" s="24">
        <v>2520</v>
      </c>
      <c r="F1095" s="30" t="s">
        <v>1620</v>
      </c>
      <c r="G1095" s="24" t="s">
        <v>1679</v>
      </c>
      <c r="H1095" s="24" t="s">
        <v>49</v>
      </c>
      <c r="I1095" s="24" t="s">
        <v>1223</v>
      </c>
      <c r="J1095" s="24" t="s">
        <v>1122</v>
      </c>
      <c r="K1095" s="24" t="s">
        <v>1224</v>
      </c>
      <c r="L1095" s="24" t="s">
        <v>1225</v>
      </c>
      <c r="M1095" s="24" t="str">
        <f t="shared" si="17"/>
        <v>XWOFBA12</v>
      </c>
    </row>
    <row r="1096" spans="1:13" ht="11.4" customHeight="1">
      <c r="A1096" s="24" t="s">
        <v>2245</v>
      </c>
      <c r="B1096" s="24" t="s">
        <v>2092</v>
      </c>
      <c r="C1096" s="24">
        <v>0.5</v>
      </c>
      <c r="D1096" s="24">
        <v>1265</v>
      </c>
      <c r="E1096" s="24">
        <v>2800</v>
      </c>
      <c r="F1096" s="30" t="s">
        <v>1252</v>
      </c>
      <c r="G1096" s="24" t="s">
        <v>1679</v>
      </c>
      <c r="H1096" s="24" t="s">
        <v>49</v>
      </c>
      <c r="I1096" s="24" t="s">
        <v>1223</v>
      </c>
      <c r="K1096" s="24" t="s">
        <v>1224</v>
      </c>
      <c r="L1096" s="24" t="s">
        <v>1225</v>
      </c>
      <c r="M1096" s="24" t="str">
        <f t="shared" si="17"/>
        <v>XWOFBA13</v>
      </c>
    </row>
    <row r="1097" spans="1:13" ht="11.4" customHeight="1">
      <c r="A1097" s="24" t="s">
        <v>2246</v>
      </c>
      <c r="B1097" s="24" t="s">
        <v>2092</v>
      </c>
      <c r="C1097" s="24">
        <v>0.5</v>
      </c>
      <c r="D1097" s="24">
        <v>1265</v>
      </c>
      <c r="E1097" s="24">
        <v>2800</v>
      </c>
      <c r="F1097" s="30" t="s">
        <v>1252</v>
      </c>
      <c r="G1097" s="24" t="s">
        <v>1679</v>
      </c>
      <c r="H1097" s="24" t="s">
        <v>49</v>
      </c>
      <c r="I1097" s="24" t="s">
        <v>1223</v>
      </c>
      <c r="K1097" s="24" t="s">
        <v>1224</v>
      </c>
      <c r="L1097" s="24" t="s">
        <v>1225</v>
      </c>
      <c r="M1097" s="24" t="str">
        <f t="shared" si="17"/>
        <v>XWOFBA13</v>
      </c>
    </row>
    <row r="1098" spans="1:13" ht="11.4" customHeight="1">
      <c r="A1098" s="24" t="s">
        <v>2247</v>
      </c>
      <c r="B1098" s="24" t="s">
        <v>2092</v>
      </c>
      <c r="C1098" s="24">
        <v>0.5</v>
      </c>
      <c r="D1098" s="24">
        <v>1265</v>
      </c>
      <c r="E1098" s="24">
        <v>3100</v>
      </c>
      <c r="F1098" s="30" t="s">
        <v>1620</v>
      </c>
      <c r="G1098" s="24" t="s">
        <v>1679</v>
      </c>
      <c r="H1098" s="24" t="s">
        <v>49</v>
      </c>
      <c r="I1098" s="24" t="s">
        <v>1223</v>
      </c>
      <c r="J1098" s="24" t="s">
        <v>1122</v>
      </c>
      <c r="K1098" s="24" t="s">
        <v>1224</v>
      </c>
      <c r="L1098" s="24" t="s">
        <v>1225</v>
      </c>
      <c r="M1098" s="24" t="str">
        <f t="shared" si="17"/>
        <v>XWOFBA10</v>
      </c>
    </row>
    <row r="1099" spans="1:13" ht="11.4" customHeight="1">
      <c r="A1099" s="24" t="s">
        <v>2248</v>
      </c>
      <c r="B1099" s="24" t="s">
        <v>2092</v>
      </c>
      <c r="C1099" s="24">
        <v>0.5</v>
      </c>
      <c r="D1099" s="24">
        <v>1265</v>
      </c>
      <c r="E1099" s="24">
        <v>3100</v>
      </c>
      <c r="F1099" s="30" t="s">
        <v>1620</v>
      </c>
      <c r="G1099" s="24" t="s">
        <v>1679</v>
      </c>
      <c r="H1099" s="24" t="s">
        <v>49</v>
      </c>
      <c r="I1099" s="24" t="s">
        <v>1223</v>
      </c>
      <c r="J1099" s="24" t="s">
        <v>1122</v>
      </c>
      <c r="K1099" s="24" t="s">
        <v>1224</v>
      </c>
      <c r="L1099" s="24" t="s">
        <v>1225</v>
      </c>
      <c r="M1099" s="24" t="str">
        <f t="shared" si="17"/>
        <v>XWOFBA10</v>
      </c>
    </row>
    <row r="1100" spans="1:13" ht="11.4" customHeight="1">
      <c r="A1100" s="24" t="s">
        <v>2249</v>
      </c>
      <c r="B1100" s="24" t="s">
        <v>2092</v>
      </c>
      <c r="C1100" s="24">
        <v>0.5</v>
      </c>
      <c r="D1100" s="24">
        <v>1265</v>
      </c>
      <c r="E1100" s="24">
        <v>3300</v>
      </c>
      <c r="F1100" s="24" t="s">
        <v>1252</v>
      </c>
      <c r="G1100" s="24" t="s">
        <v>1679</v>
      </c>
      <c r="H1100" s="24" t="s">
        <v>49</v>
      </c>
      <c r="I1100" s="24" t="s">
        <v>1223</v>
      </c>
      <c r="K1100" s="24" t="s">
        <v>1224</v>
      </c>
      <c r="L1100" s="24" t="s">
        <v>1225</v>
      </c>
      <c r="M1100" s="24" t="str">
        <f t="shared" si="17"/>
        <v>XWOFBA09</v>
      </c>
    </row>
    <row r="1101" spans="1:13" ht="11.4" customHeight="1">
      <c r="A1101" s="24" t="s">
        <v>2250</v>
      </c>
      <c r="B1101" s="24" t="s">
        <v>2092</v>
      </c>
      <c r="C1101" s="24">
        <v>0.5</v>
      </c>
      <c r="D1101" s="24">
        <v>1265</v>
      </c>
      <c r="E1101" s="24">
        <v>3300</v>
      </c>
      <c r="F1101" s="24" t="s">
        <v>1252</v>
      </c>
      <c r="G1101" s="24" t="s">
        <v>1679</v>
      </c>
      <c r="H1101" s="24" t="s">
        <v>49</v>
      </c>
      <c r="I1101" s="24" t="s">
        <v>1223</v>
      </c>
      <c r="J1101" s="24" t="s">
        <v>1122</v>
      </c>
      <c r="K1101" s="24" t="s">
        <v>1224</v>
      </c>
      <c r="L1101" s="24" t="s">
        <v>1225</v>
      </c>
      <c r="M1101" s="24" t="str">
        <f t="shared" si="17"/>
        <v>XWOFBA11</v>
      </c>
    </row>
    <row r="1102" spans="1:13" ht="11.4" customHeight="1">
      <c r="A1102" s="24" t="s">
        <v>2251</v>
      </c>
      <c r="B1102" s="24" t="s">
        <v>2092</v>
      </c>
      <c r="C1102" s="24">
        <v>0.5</v>
      </c>
      <c r="D1102" s="24">
        <v>1265</v>
      </c>
      <c r="E1102" s="24">
        <v>3300</v>
      </c>
      <c r="F1102" s="30" t="s">
        <v>1252</v>
      </c>
      <c r="G1102" s="24" t="s">
        <v>1679</v>
      </c>
      <c r="H1102" s="24" t="s">
        <v>49</v>
      </c>
      <c r="I1102" s="24" t="s">
        <v>1223</v>
      </c>
      <c r="K1102" s="24" t="s">
        <v>1224</v>
      </c>
      <c r="L1102" s="24" t="s">
        <v>1225</v>
      </c>
      <c r="M1102" s="24" t="str">
        <f t="shared" si="17"/>
        <v>XWOFBA09</v>
      </c>
    </row>
    <row r="1103" spans="1:13" ht="11.4" customHeight="1">
      <c r="A1103" s="24" t="s">
        <v>2252</v>
      </c>
      <c r="B1103" s="24" t="s">
        <v>2092</v>
      </c>
      <c r="C1103" s="24">
        <v>0.5</v>
      </c>
      <c r="D1103" s="24">
        <v>1265</v>
      </c>
      <c r="E1103" s="24">
        <v>3300</v>
      </c>
      <c r="F1103" s="30" t="s">
        <v>1252</v>
      </c>
      <c r="G1103" s="24" t="s">
        <v>1679</v>
      </c>
      <c r="H1103" s="24" t="s">
        <v>49</v>
      </c>
      <c r="I1103" s="24" t="s">
        <v>1223</v>
      </c>
      <c r="J1103" s="24" t="s">
        <v>1122</v>
      </c>
      <c r="K1103" s="24" t="s">
        <v>1224</v>
      </c>
      <c r="L1103" s="24" t="s">
        <v>1225</v>
      </c>
      <c r="M1103" s="24" t="str">
        <f t="shared" si="17"/>
        <v>XWOFBA11</v>
      </c>
    </row>
    <row r="1104" spans="1:13" ht="11.4" customHeight="1">
      <c r="A1104" s="24" t="s">
        <v>2253</v>
      </c>
      <c r="B1104" s="24" t="s">
        <v>2092</v>
      </c>
      <c r="C1104" s="24">
        <v>0.5</v>
      </c>
      <c r="D1104" s="24">
        <v>1265</v>
      </c>
      <c r="E1104" s="24">
        <v>2520</v>
      </c>
      <c r="F1104" s="30" t="s">
        <v>1252</v>
      </c>
      <c r="G1104" s="24" t="s">
        <v>1679</v>
      </c>
      <c r="H1104" s="24" t="s">
        <v>49</v>
      </c>
      <c r="I1104" s="24" t="s">
        <v>2000</v>
      </c>
      <c r="K1104" s="24" t="s">
        <v>1224</v>
      </c>
      <c r="L1104" s="24" t="s">
        <v>1225</v>
      </c>
      <c r="M1104" s="24" t="str">
        <f t="shared" si="17"/>
        <v>XWOFBA08</v>
      </c>
    </row>
    <row r="1105" spans="1:13" ht="11.4" customHeight="1">
      <c r="A1105" s="24" t="s">
        <v>1087</v>
      </c>
      <c r="B1105" s="24" t="s">
        <v>2092</v>
      </c>
      <c r="C1105" s="24">
        <v>0.5</v>
      </c>
      <c r="D1105" s="24">
        <v>1265</v>
      </c>
      <c r="E1105" s="24">
        <v>2520</v>
      </c>
      <c r="F1105" s="30" t="s">
        <v>1252</v>
      </c>
      <c r="G1105" s="24" t="s">
        <v>1679</v>
      </c>
      <c r="H1105" s="24" t="s">
        <v>49</v>
      </c>
      <c r="I1105" s="24" t="s">
        <v>2000</v>
      </c>
      <c r="K1105" s="24" t="s">
        <v>1224</v>
      </c>
      <c r="L1105" s="24" t="s">
        <v>1225</v>
      </c>
      <c r="M1105" s="24" t="str">
        <f t="shared" si="17"/>
        <v>XWOFBA08</v>
      </c>
    </row>
    <row r="1106" spans="1:13" ht="11.4" customHeight="1">
      <c r="A1106" s="24" t="s">
        <v>2254</v>
      </c>
      <c r="B1106" s="24" t="s">
        <v>2092</v>
      </c>
      <c r="C1106" s="24">
        <v>0.5</v>
      </c>
      <c r="D1106" s="24">
        <v>1265</v>
      </c>
      <c r="E1106" s="24">
        <v>2520</v>
      </c>
      <c r="F1106" s="30" t="s">
        <v>1252</v>
      </c>
      <c r="G1106" s="24" t="s">
        <v>1679</v>
      </c>
      <c r="H1106" s="24" t="s">
        <v>49</v>
      </c>
      <c r="I1106" s="24" t="s">
        <v>1237</v>
      </c>
      <c r="K1106" s="24" t="s">
        <v>1224</v>
      </c>
      <c r="L1106" s="24" t="s">
        <v>1225</v>
      </c>
      <c r="M1106" s="24" t="str">
        <f t="shared" si="17"/>
        <v>XWOFPA01</v>
      </c>
    </row>
    <row r="1107" spans="1:13" ht="11.4" customHeight="1">
      <c r="A1107" s="24" t="s">
        <v>2255</v>
      </c>
      <c r="B1107" s="24" t="s">
        <v>2092</v>
      </c>
      <c r="C1107" s="24">
        <v>0.5</v>
      </c>
      <c r="D1107" s="24">
        <v>1265</v>
      </c>
      <c r="E1107" s="24">
        <v>2520</v>
      </c>
      <c r="F1107" s="30" t="s">
        <v>1620</v>
      </c>
      <c r="G1107" s="24" t="s">
        <v>1679</v>
      </c>
      <c r="H1107" s="24" t="s">
        <v>49</v>
      </c>
      <c r="I1107" s="24" t="s">
        <v>1237</v>
      </c>
      <c r="J1107" s="24" t="s">
        <v>1122</v>
      </c>
      <c r="K1107" s="24" t="s">
        <v>1224</v>
      </c>
      <c r="L1107" s="24" t="s">
        <v>1225</v>
      </c>
      <c r="M1107" s="24" t="str">
        <f t="shared" si="17"/>
        <v>XWOFPA02</v>
      </c>
    </row>
    <row r="1108" spans="1:13" ht="11.4" customHeight="1">
      <c r="A1108" s="24" t="s">
        <v>602</v>
      </c>
      <c r="B1108" s="24" t="s">
        <v>2092</v>
      </c>
      <c r="C1108" s="24">
        <v>0.5</v>
      </c>
      <c r="D1108" s="24">
        <v>1265</v>
      </c>
      <c r="E1108" s="24">
        <v>2520</v>
      </c>
      <c r="F1108" s="30" t="s">
        <v>1252</v>
      </c>
      <c r="G1108" s="24" t="s">
        <v>1679</v>
      </c>
      <c r="H1108" s="24" t="s">
        <v>49</v>
      </c>
      <c r="I1108" s="24" t="s">
        <v>1237</v>
      </c>
      <c r="K1108" s="24" t="s">
        <v>1224</v>
      </c>
      <c r="L1108" s="24" t="s">
        <v>1225</v>
      </c>
      <c r="M1108" s="24" t="str">
        <f t="shared" si="17"/>
        <v>XWOFPA01</v>
      </c>
    </row>
    <row r="1109" spans="1:13" ht="11.4" customHeight="1">
      <c r="A1109" s="24" t="s">
        <v>2256</v>
      </c>
      <c r="B1109" s="24" t="s">
        <v>2092</v>
      </c>
      <c r="C1109" s="24">
        <v>0.5</v>
      </c>
      <c r="D1109" s="24">
        <v>1265</v>
      </c>
      <c r="E1109" s="24">
        <v>2520</v>
      </c>
      <c r="F1109" s="30" t="s">
        <v>1620</v>
      </c>
      <c r="G1109" s="24" t="s">
        <v>1679</v>
      </c>
      <c r="H1109" s="24" t="s">
        <v>49</v>
      </c>
      <c r="I1109" s="24" t="s">
        <v>1237</v>
      </c>
      <c r="J1109" s="24" t="s">
        <v>1122</v>
      </c>
      <c r="K1109" s="24" t="s">
        <v>1224</v>
      </c>
      <c r="L1109" s="24" t="s">
        <v>1225</v>
      </c>
      <c r="M1109" s="24" t="str">
        <f t="shared" si="17"/>
        <v>XWOFPA02</v>
      </c>
    </row>
    <row r="1110" spans="1:13" ht="11.4" customHeight="1">
      <c r="A1110" s="24" t="s">
        <v>2257</v>
      </c>
      <c r="B1110" s="24" t="s">
        <v>2092</v>
      </c>
      <c r="C1110" s="24">
        <v>0.5</v>
      </c>
      <c r="D1110" s="24">
        <v>99</v>
      </c>
      <c r="E1110" s="24">
        <v>50</v>
      </c>
      <c r="F1110" s="30">
        <v>0</v>
      </c>
      <c r="G1110" s="24" t="s">
        <v>1679</v>
      </c>
      <c r="H1110" s="24" t="s">
        <v>49</v>
      </c>
      <c r="I1110" s="24" t="s">
        <v>1232</v>
      </c>
      <c r="J1110" s="24" t="s">
        <v>1122</v>
      </c>
      <c r="K1110" s="24" t="s">
        <v>1224</v>
      </c>
      <c r="L1110" s="24" t="s">
        <v>1615</v>
      </c>
      <c r="M1110" s="24" t="str">
        <f t="shared" si="17"/>
        <v>KWOFSA05</v>
      </c>
    </row>
    <row r="1111" spans="1:13" ht="11.4" customHeight="1">
      <c r="A1111" s="24" t="s">
        <v>2258</v>
      </c>
      <c r="B1111" s="24" t="s">
        <v>2092</v>
      </c>
      <c r="C1111" s="24">
        <v>0.5</v>
      </c>
      <c r="D1111" s="24">
        <v>50</v>
      </c>
      <c r="E1111" s="24">
        <v>99</v>
      </c>
      <c r="F1111" s="24">
        <v>0</v>
      </c>
      <c r="G1111" s="24" t="s">
        <v>1679</v>
      </c>
      <c r="H1111" s="24" t="s">
        <v>49</v>
      </c>
      <c r="I1111" s="24" t="s">
        <v>1232</v>
      </c>
      <c r="J1111" s="24" t="s">
        <v>1122</v>
      </c>
      <c r="K1111" s="24" t="s">
        <v>1224</v>
      </c>
      <c r="L1111" s="24" t="s">
        <v>1615</v>
      </c>
      <c r="M1111" s="24" t="str">
        <f t="shared" si="17"/>
        <v>KWOFSA06</v>
      </c>
    </row>
    <row r="1112" spans="1:13" s="35" customFormat="1" ht="11.4" customHeight="1">
      <c r="A1112" s="35" t="s">
        <v>1197</v>
      </c>
      <c r="B1112" s="35" t="s">
        <v>2092</v>
      </c>
      <c r="C1112" s="35">
        <v>0.5</v>
      </c>
      <c r="D1112" s="35">
        <v>1265</v>
      </c>
      <c r="E1112" s="35">
        <v>2520</v>
      </c>
      <c r="F1112" s="36" t="s">
        <v>1252</v>
      </c>
      <c r="G1112" s="35" t="s">
        <v>1679</v>
      </c>
      <c r="H1112" s="35" t="s">
        <v>49</v>
      </c>
      <c r="I1112" s="35" t="s">
        <v>1232</v>
      </c>
      <c r="K1112" s="35" t="s">
        <v>1224</v>
      </c>
      <c r="L1112" s="35" t="s">
        <v>1225</v>
      </c>
      <c r="M1112" s="35" t="str">
        <f t="shared" si="17"/>
        <v>XWOFSA01</v>
      </c>
    </row>
    <row r="1113" spans="1:13" ht="11.4" customHeight="1">
      <c r="A1113" s="24" t="s">
        <v>2259</v>
      </c>
      <c r="B1113" s="24" t="s">
        <v>2092</v>
      </c>
      <c r="C1113" s="24">
        <v>0.5</v>
      </c>
      <c r="D1113" s="24">
        <v>1265</v>
      </c>
      <c r="E1113" s="24">
        <v>2520</v>
      </c>
      <c r="F1113" s="30" t="s">
        <v>1252</v>
      </c>
      <c r="G1113" s="24" t="s">
        <v>1679</v>
      </c>
      <c r="H1113" s="24" t="s">
        <v>49</v>
      </c>
      <c r="I1113" s="24" t="s">
        <v>1232</v>
      </c>
      <c r="J1113" s="24" t="s">
        <v>1122</v>
      </c>
      <c r="K1113" s="24" t="s">
        <v>1224</v>
      </c>
      <c r="L1113" s="24" t="s">
        <v>1225</v>
      </c>
      <c r="M1113" s="24" t="str">
        <f t="shared" si="17"/>
        <v>XWOFSA11</v>
      </c>
    </row>
    <row r="1114" spans="1:13" ht="11.4" customHeight="1">
      <c r="A1114" s="24" t="s">
        <v>554</v>
      </c>
      <c r="B1114" s="24" t="s">
        <v>2092</v>
      </c>
      <c r="C1114" s="24">
        <v>0.5</v>
      </c>
      <c r="D1114" s="24">
        <v>1265</v>
      </c>
      <c r="E1114" s="24">
        <v>2520</v>
      </c>
      <c r="F1114" s="30" t="s">
        <v>1252</v>
      </c>
      <c r="G1114" s="24" t="s">
        <v>1679</v>
      </c>
      <c r="H1114" s="24" t="s">
        <v>49</v>
      </c>
      <c r="I1114" s="24" t="s">
        <v>1232</v>
      </c>
      <c r="K1114" s="24" t="s">
        <v>1224</v>
      </c>
      <c r="L1114" s="24" t="s">
        <v>1225</v>
      </c>
      <c r="M1114" s="24" t="str">
        <f t="shared" si="17"/>
        <v>XWOFSA01</v>
      </c>
    </row>
    <row r="1115" spans="1:13" ht="11.4" customHeight="1">
      <c r="A1115" s="24" t="s">
        <v>2260</v>
      </c>
      <c r="B1115" s="24" t="s">
        <v>2092</v>
      </c>
      <c r="C1115" s="24">
        <v>0.5</v>
      </c>
      <c r="D1115" s="24">
        <v>1265</v>
      </c>
      <c r="E1115" s="24">
        <v>2520</v>
      </c>
      <c r="F1115" s="30" t="s">
        <v>1252</v>
      </c>
      <c r="G1115" s="24" t="s">
        <v>1679</v>
      </c>
      <c r="H1115" s="24" t="s">
        <v>49</v>
      </c>
      <c r="I1115" s="24" t="s">
        <v>1232</v>
      </c>
      <c r="J1115" s="24" t="s">
        <v>1122</v>
      </c>
      <c r="K1115" s="24" t="s">
        <v>1224</v>
      </c>
      <c r="L1115" s="24" t="s">
        <v>1225</v>
      </c>
      <c r="M1115" s="24" t="str">
        <f t="shared" si="17"/>
        <v>XWOFSA11</v>
      </c>
    </row>
    <row r="1116" spans="1:13" ht="11.4" customHeight="1">
      <c r="A1116" s="24" t="s">
        <v>2261</v>
      </c>
      <c r="B1116" s="24" t="s">
        <v>2092</v>
      </c>
      <c r="C1116" s="24">
        <v>0.5</v>
      </c>
      <c r="D1116" s="24">
        <v>1265</v>
      </c>
      <c r="E1116" s="24">
        <v>3100</v>
      </c>
      <c r="F1116" s="30" t="s">
        <v>1252</v>
      </c>
      <c r="G1116" s="24" t="s">
        <v>1679</v>
      </c>
      <c r="H1116" s="24" t="s">
        <v>49</v>
      </c>
      <c r="I1116" s="24" t="s">
        <v>1232</v>
      </c>
      <c r="K1116" s="24" t="s">
        <v>1224</v>
      </c>
      <c r="L1116" s="24" t="s">
        <v>1225</v>
      </c>
      <c r="M1116" s="24" t="str">
        <f t="shared" si="17"/>
        <v>XWOFSA07</v>
      </c>
    </row>
    <row r="1117" spans="1:13" ht="11.4" customHeight="1">
      <c r="A1117" s="24" t="s">
        <v>558</v>
      </c>
      <c r="B1117" s="24" t="s">
        <v>2092</v>
      </c>
      <c r="C1117" s="24">
        <v>0.5</v>
      </c>
      <c r="D1117" s="24">
        <v>1265</v>
      </c>
      <c r="E1117" s="24">
        <v>3100</v>
      </c>
      <c r="F1117" s="30" t="s">
        <v>1252</v>
      </c>
      <c r="G1117" s="24" t="s">
        <v>1679</v>
      </c>
      <c r="H1117" s="24" t="s">
        <v>49</v>
      </c>
      <c r="I1117" s="24" t="s">
        <v>1232</v>
      </c>
      <c r="K1117" s="24" t="s">
        <v>1224</v>
      </c>
      <c r="L1117" s="24" t="s">
        <v>1225</v>
      </c>
      <c r="M1117" s="24" t="str">
        <f t="shared" si="17"/>
        <v>XWOFSA07</v>
      </c>
    </row>
    <row r="1118" spans="1:13" ht="11.4" customHeight="1">
      <c r="A1118" s="24" t="s">
        <v>2262</v>
      </c>
      <c r="B1118" s="24" t="s">
        <v>2092</v>
      </c>
      <c r="C1118" s="24">
        <v>0.5</v>
      </c>
      <c r="D1118" s="24">
        <v>1265</v>
      </c>
      <c r="E1118" s="24">
        <v>3300</v>
      </c>
      <c r="F1118" s="30" t="s">
        <v>1252</v>
      </c>
      <c r="G1118" s="24" t="s">
        <v>1679</v>
      </c>
      <c r="H1118" s="24" t="s">
        <v>49</v>
      </c>
      <c r="I1118" s="24" t="s">
        <v>1232</v>
      </c>
      <c r="K1118" s="24" t="s">
        <v>1224</v>
      </c>
      <c r="L1118" s="24" t="s">
        <v>1225</v>
      </c>
      <c r="M1118" s="24" t="str">
        <f t="shared" si="17"/>
        <v>XWOFSA08</v>
      </c>
    </row>
    <row r="1119" spans="1:13" ht="11.4" customHeight="1">
      <c r="A1119" s="24" t="s">
        <v>2263</v>
      </c>
      <c r="B1119" s="24" t="s">
        <v>2092</v>
      </c>
      <c r="C1119" s="24">
        <v>0.5</v>
      </c>
      <c r="D1119" s="24">
        <v>1265</v>
      </c>
      <c r="E1119" s="24">
        <v>3300</v>
      </c>
      <c r="F1119" s="30" t="s">
        <v>1252</v>
      </c>
      <c r="G1119" s="24" t="s">
        <v>1679</v>
      </c>
      <c r="H1119" s="24" t="s">
        <v>49</v>
      </c>
      <c r="I1119" s="24" t="s">
        <v>1232</v>
      </c>
      <c r="J1119" s="24" t="s">
        <v>1122</v>
      </c>
      <c r="K1119" s="24" t="s">
        <v>1224</v>
      </c>
      <c r="L1119" s="24" t="s">
        <v>1225</v>
      </c>
      <c r="M1119" s="24" t="str">
        <f t="shared" si="17"/>
        <v>XWOFSA10</v>
      </c>
    </row>
    <row r="1120" spans="1:13" ht="11.4" customHeight="1">
      <c r="A1120" s="24" t="s">
        <v>2264</v>
      </c>
      <c r="B1120" s="24" t="s">
        <v>2092</v>
      </c>
      <c r="C1120" s="24">
        <v>0.5</v>
      </c>
      <c r="D1120" s="24">
        <v>1265</v>
      </c>
      <c r="E1120" s="24">
        <v>3300</v>
      </c>
      <c r="F1120" s="30" t="s">
        <v>1252</v>
      </c>
      <c r="G1120" s="24" t="s">
        <v>1679</v>
      </c>
      <c r="H1120" s="24" t="s">
        <v>49</v>
      </c>
      <c r="I1120" s="24" t="s">
        <v>1232</v>
      </c>
      <c r="K1120" s="24" t="s">
        <v>1224</v>
      </c>
      <c r="L1120" s="24" t="s">
        <v>1225</v>
      </c>
      <c r="M1120" s="24" t="str">
        <f t="shared" si="17"/>
        <v>XWOFSA08</v>
      </c>
    </row>
    <row r="1121" spans="1:13" ht="11.4" customHeight="1">
      <c r="A1121" s="24" t="s">
        <v>2265</v>
      </c>
      <c r="B1121" s="24" t="s">
        <v>2092</v>
      </c>
      <c r="C1121" s="24">
        <v>0.5</v>
      </c>
      <c r="D1121" s="24">
        <v>1265</v>
      </c>
      <c r="E1121" s="24">
        <v>3300</v>
      </c>
      <c r="F1121" s="30" t="s">
        <v>1252</v>
      </c>
      <c r="G1121" s="24" t="s">
        <v>1679</v>
      </c>
      <c r="H1121" s="24" t="s">
        <v>49</v>
      </c>
      <c r="I1121" s="24" t="s">
        <v>1232</v>
      </c>
      <c r="J1121" s="24" t="s">
        <v>1122</v>
      </c>
      <c r="K1121" s="24" t="s">
        <v>1224</v>
      </c>
      <c r="L1121" s="24" t="s">
        <v>1225</v>
      </c>
      <c r="M1121" s="24" t="str">
        <f t="shared" si="17"/>
        <v>XWOFSA10</v>
      </c>
    </row>
    <row r="1122" spans="1:13" ht="11.4" customHeight="1">
      <c r="A1122" s="24" t="s">
        <v>2266</v>
      </c>
      <c r="B1122" s="24" t="s">
        <v>2092</v>
      </c>
      <c r="C1122" s="24">
        <v>0.5</v>
      </c>
      <c r="D1122" s="24">
        <v>1265</v>
      </c>
      <c r="E1122" s="24">
        <v>2520</v>
      </c>
      <c r="F1122" s="30" t="s">
        <v>1252</v>
      </c>
      <c r="G1122" s="24" t="s">
        <v>1679</v>
      </c>
      <c r="H1122" s="24" t="s">
        <v>49</v>
      </c>
      <c r="I1122" s="24" t="s">
        <v>2207</v>
      </c>
      <c r="K1122" s="24" t="s">
        <v>1224</v>
      </c>
      <c r="L1122" s="24" t="s">
        <v>1225</v>
      </c>
      <c r="M1122" s="24" t="str">
        <f t="shared" si="17"/>
        <v>XWOFSA02</v>
      </c>
    </row>
    <row r="1123" spans="1:13" ht="11.4" customHeight="1">
      <c r="A1123" s="24" t="s">
        <v>2267</v>
      </c>
      <c r="B1123" s="24" t="s">
        <v>2092</v>
      </c>
      <c r="C1123" s="24">
        <v>0.5</v>
      </c>
      <c r="D1123" s="24">
        <v>1265</v>
      </c>
      <c r="E1123" s="24">
        <v>2520</v>
      </c>
      <c r="F1123" s="30" t="s">
        <v>1252</v>
      </c>
      <c r="G1123" s="24" t="s">
        <v>1679</v>
      </c>
      <c r="H1123" s="24" t="s">
        <v>49</v>
      </c>
      <c r="I1123" s="24" t="s">
        <v>2207</v>
      </c>
      <c r="K1123" s="24" t="s">
        <v>1224</v>
      </c>
      <c r="L1123" s="24" t="s">
        <v>1225</v>
      </c>
      <c r="M1123" s="24" t="str">
        <f t="shared" si="17"/>
        <v>XWOFSA02</v>
      </c>
    </row>
    <row r="1124" spans="1:13" ht="11.4" customHeight="1">
      <c r="A1124" s="24" t="s">
        <v>2268</v>
      </c>
      <c r="B1124" s="24" t="s">
        <v>2092</v>
      </c>
      <c r="C1124" s="24">
        <v>0.5</v>
      </c>
      <c r="D1124" s="24">
        <v>50</v>
      </c>
      <c r="E1124" s="24">
        <v>99</v>
      </c>
      <c r="F1124" s="24">
        <v>0</v>
      </c>
      <c r="G1124" s="24" t="s">
        <v>1679</v>
      </c>
      <c r="H1124" s="24" t="s">
        <v>2175</v>
      </c>
      <c r="I1124" s="24" t="s">
        <v>1237</v>
      </c>
      <c r="J1124" s="24" t="s">
        <v>1122</v>
      </c>
      <c r="K1124" s="24" t="s">
        <v>1224</v>
      </c>
      <c r="L1124" s="24" t="s">
        <v>1615</v>
      </c>
      <c r="M1124" s="24" t="str">
        <f t="shared" si="17"/>
        <v>KWOFPA01</v>
      </c>
    </row>
    <row r="1125" spans="1:13" ht="11.4" customHeight="1">
      <c r="A1125" s="24" t="s">
        <v>2269</v>
      </c>
      <c r="B1125" s="24" t="s">
        <v>2092</v>
      </c>
      <c r="C1125" s="24">
        <v>0.5</v>
      </c>
      <c r="D1125" s="24">
        <v>1265</v>
      </c>
      <c r="E1125" s="24">
        <v>2520</v>
      </c>
      <c r="G1125" s="24" t="s">
        <v>1679</v>
      </c>
      <c r="H1125" s="24" t="s">
        <v>2270</v>
      </c>
      <c r="I1125" s="24" t="s">
        <v>1232</v>
      </c>
      <c r="J1125" s="24" t="s">
        <v>1122</v>
      </c>
      <c r="K1125" s="24" t="s">
        <v>1224</v>
      </c>
      <c r="L1125" s="24" t="s">
        <v>1615</v>
      </c>
      <c r="M1125" s="24" t="str">
        <f t="shared" si="17"/>
        <v>KWOFSA04</v>
      </c>
    </row>
    <row r="1126" spans="1:13" ht="11.4" customHeight="1">
      <c r="A1126" s="24" t="s">
        <v>2271</v>
      </c>
      <c r="B1126" s="24" t="s">
        <v>2092</v>
      </c>
      <c r="C1126" s="24">
        <v>0.5</v>
      </c>
      <c r="D1126" s="24">
        <v>1265</v>
      </c>
      <c r="E1126" s="24">
        <v>2520</v>
      </c>
      <c r="F1126" s="30">
        <v>0</v>
      </c>
      <c r="G1126" s="24" t="s">
        <v>1679</v>
      </c>
      <c r="H1126" s="24" t="s">
        <v>2270</v>
      </c>
      <c r="I1126" s="24" t="s">
        <v>1232</v>
      </c>
      <c r="K1126" s="24" t="s">
        <v>1224</v>
      </c>
      <c r="L1126" s="24" t="s">
        <v>1615</v>
      </c>
      <c r="M1126" s="24" t="str">
        <f t="shared" si="17"/>
        <v>KWOFSA04</v>
      </c>
    </row>
    <row r="1127" spans="1:13" ht="11.4" customHeight="1">
      <c r="A1127" s="24" t="s">
        <v>2272</v>
      </c>
      <c r="B1127" s="24" t="s">
        <v>2092</v>
      </c>
      <c r="C1127" s="24">
        <v>0.5</v>
      </c>
      <c r="D1127" s="24">
        <v>1265</v>
      </c>
      <c r="E1127" s="24">
        <v>2520</v>
      </c>
      <c r="F1127" s="30" t="s">
        <v>1252</v>
      </c>
      <c r="G1127" s="24" t="s">
        <v>1679</v>
      </c>
      <c r="H1127" s="24" t="s">
        <v>1366</v>
      </c>
      <c r="I1127" s="24" t="s">
        <v>1232</v>
      </c>
      <c r="K1127" s="24" t="s">
        <v>1224</v>
      </c>
      <c r="L1127" s="24" t="s">
        <v>1225</v>
      </c>
      <c r="M1127" s="24" t="str">
        <f t="shared" si="17"/>
        <v>XWOFSA12</v>
      </c>
    </row>
    <row r="1128" spans="1:13" ht="11.4" customHeight="1">
      <c r="A1128" s="24" t="s">
        <v>671</v>
      </c>
      <c r="B1128" s="24" t="s">
        <v>2092</v>
      </c>
      <c r="C1128" s="24">
        <v>0.5</v>
      </c>
      <c r="D1128" s="24">
        <v>1265</v>
      </c>
      <c r="E1128" s="24">
        <v>2520</v>
      </c>
      <c r="F1128" s="30" t="s">
        <v>1252</v>
      </c>
      <c r="G1128" s="24" t="s">
        <v>1679</v>
      </c>
      <c r="H1128" s="24" t="s">
        <v>1366</v>
      </c>
      <c r="I1128" s="24" t="s">
        <v>1232</v>
      </c>
      <c r="K1128" s="24" t="s">
        <v>1224</v>
      </c>
      <c r="L1128" s="24" t="s">
        <v>1225</v>
      </c>
      <c r="M1128" s="24" t="str">
        <f t="shared" si="17"/>
        <v>XWOFSA12</v>
      </c>
    </row>
    <row r="1129" spans="1:13" ht="11.4" customHeight="1">
      <c r="A1129" s="24" t="s">
        <v>2273</v>
      </c>
      <c r="B1129" s="24" t="s">
        <v>2092</v>
      </c>
      <c r="C1129" s="24">
        <v>0.5</v>
      </c>
      <c r="D1129" s="24">
        <v>1265</v>
      </c>
      <c r="E1129" s="24">
        <v>3300</v>
      </c>
      <c r="F1129" s="30" t="s">
        <v>1252</v>
      </c>
      <c r="G1129" s="24" t="s">
        <v>1679</v>
      </c>
      <c r="H1129" s="24" t="s">
        <v>1366</v>
      </c>
      <c r="I1129" s="24" t="s">
        <v>1232</v>
      </c>
      <c r="K1129" s="24" t="s">
        <v>1224</v>
      </c>
      <c r="L1129" s="24" t="s">
        <v>1225</v>
      </c>
      <c r="M1129" s="24" t="str">
        <f t="shared" si="17"/>
        <v>XWOFSA13</v>
      </c>
    </row>
    <row r="1130" spans="1:13" ht="11.4" customHeight="1">
      <c r="A1130" s="24" t="s">
        <v>663</v>
      </c>
      <c r="B1130" s="24" t="s">
        <v>2092</v>
      </c>
      <c r="C1130" s="24">
        <v>0.5</v>
      </c>
      <c r="D1130" s="24">
        <v>1265</v>
      </c>
      <c r="E1130" s="24">
        <v>3300</v>
      </c>
      <c r="F1130" s="30" t="s">
        <v>1252</v>
      </c>
      <c r="G1130" s="24" t="s">
        <v>1679</v>
      </c>
      <c r="H1130" s="24" t="s">
        <v>1366</v>
      </c>
      <c r="I1130" s="24" t="s">
        <v>1232</v>
      </c>
      <c r="K1130" s="24" t="s">
        <v>1224</v>
      </c>
      <c r="L1130" s="24" t="s">
        <v>1225</v>
      </c>
      <c r="M1130" s="24" t="str">
        <f t="shared" si="17"/>
        <v>XWOFSA13</v>
      </c>
    </row>
    <row r="1131" spans="1:13" ht="11.4" customHeight="1">
      <c r="A1131" s="24" t="s">
        <v>2274</v>
      </c>
      <c r="B1131" s="24" t="s">
        <v>2092</v>
      </c>
      <c r="C1131" s="24">
        <v>0.5</v>
      </c>
      <c r="D1131" s="24">
        <v>1265</v>
      </c>
      <c r="E1131" s="24">
        <v>2520</v>
      </c>
      <c r="F1131" s="30" t="s">
        <v>1252</v>
      </c>
      <c r="G1131" s="24" t="s">
        <v>1679</v>
      </c>
      <c r="H1131" s="24" t="s">
        <v>2275</v>
      </c>
      <c r="I1131" s="24" t="s">
        <v>1223</v>
      </c>
      <c r="K1131" s="24" t="s">
        <v>1224</v>
      </c>
      <c r="L1131" s="24" t="s">
        <v>1225</v>
      </c>
      <c r="M1131" s="24" t="str">
        <f t="shared" si="17"/>
        <v>XWOFBA06</v>
      </c>
    </row>
    <row r="1132" spans="1:13" ht="11.4" customHeight="1">
      <c r="A1132" s="24" t="s">
        <v>2276</v>
      </c>
      <c r="B1132" s="24" t="s">
        <v>2092</v>
      </c>
      <c r="C1132" s="24">
        <v>0.5</v>
      </c>
      <c r="D1132" s="24">
        <v>1265</v>
      </c>
      <c r="E1132" s="24">
        <v>2520</v>
      </c>
      <c r="F1132" s="30" t="s">
        <v>1252</v>
      </c>
      <c r="G1132" s="24" t="s">
        <v>1679</v>
      </c>
      <c r="H1132" s="24" t="s">
        <v>2275</v>
      </c>
      <c r="I1132" s="24" t="s">
        <v>1223</v>
      </c>
      <c r="K1132" s="24" t="s">
        <v>1224</v>
      </c>
      <c r="L1132" s="24" t="s">
        <v>1225</v>
      </c>
      <c r="M1132" s="24" t="str">
        <f t="shared" si="17"/>
        <v>XWOFBA06</v>
      </c>
    </row>
    <row r="1133" spans="1:13" ht="11.4" customHeight="1">
      <c r="A1133" s="24" t="s">
        <v>2277</v>
      </c>
      <c r="B1133" s="24" t="s">
        <v>2092</v>
      </c>
      <c r="C1133" s="24">
        <v>0.5</v>
      </c>
      <c r="D1133" s="24">
        <v>1265</v>
      </c>
      <c r="E1133" s="24">
        <v>2520</v>
      </c>
      <c r="F1133" s="30" t="s">
        <v>1252</v>
      </c>
      <c r="G1133" s="24" t="s">
        <v>1679</v>
      </c>
      <c r="H1133" s="24" t="s">
        <v>2275</v>
      </c>
      <c r="I1133" s="24" t="s">
        <v>1232</v>
      </c>
      <c r="K1133" s="24" t="s">
        <v>1224</v>
      </c>
      <c r="L1133" s="24" t="s">
        <v>1225</v>
      </c>
      <c r="M1133" s="24" t="str">
        <f t="shared" si="17"/>
        <v>XWOFSA06</v>
      </c>
    </row>
    <row r="1134" spans="1:13" ht="11.4" customHeight="1">
      <c r="A1134" s="24" t="s">
        <v>579</v>
      </c>
      <c r="B1134" s="24" t="s">
        <v>2092</v>
      </c>
      <c r="C1134" s="24">
        <v>0.5</v>
      </c>
      <c r="D1134" s="24">
        <v>1265</v>
      </c>
      <c r="E1134" s="24">
        <v>2520</v>
      </c>
      <c r="F1134" s="30" t="s">
        <v>1252</v>
      </c>
      <c r="G1134" s="24" t="s">
        <v>1679</v>
      </c>
      <c r="H1134" s="24" t="s">
        <v>2275</v>
      </c>
      <c r="I1134" s="24" t="s">
        <v>1232</v>
      </c>
      <c r="K1134" s="24" t="s">
        <v>1224</v>
      </c>
      <c r="L1134" s="24" t="s">
        <v>1225</v>
      </c>
      <c r="M1134" s="24" t="str">
        <f t="shared" si="17"/>
        <v>XWOFSA06</v>
      </c>
    </row>
    <row r="1135" spans="1:13" s="35" customFormat="1" ht="11.4" customHeight="1">
      <c r="A1135" s="35" t="s">
        <v>1196</v>
      </c>
      <c r="B1135" s="35" t="s">
        <v>2092</v>
      </c>
      <c r="C1135" s="35">
        <v>0.5</v>
      </c>
      <c r="D1135" s="35">
        <v>1265</v>
      </c>
      <c r="E1135" s="35">
        <v>2520</v>
      </c>
      <c r="F1135" s="36" t="s">
        <v>1252</v>
      </c>
      <c r="G1135" s="35" t="s">
        <v>1679</v>
      </c>
      <c r="H1135" s="35" t="s">
        <v>2278</v>
      </c>
      <c r="I1135" s="35" t="s">
        <v>1232</v>
      </c>
      <c r="K1135" s="35" t="s">
        <v>1224</v>
      </c>
      <c r="L1135" s="35" t="s">
        <v>1225</v>
      </c>
      <c r="M1135" s="35" t="str">
        <f t="shared" si="17"/>
        <v>XWOFSA17</v>
      </c>
    </row>
    <row r="1136" spans="1:13" ht="11.4" customHeight="1">
      <c r="A1136" s="24" t="s">
        <v>2279</v>
      </c>
      <c r="B1136" s="24" t="s">
        <v>2092</v>
      </c>
      <c r="C1136" s="24">
        <v>0.5</v>
      </c>
      <c r="D1136" s="24">
        <v>1265</v>
      </c>
      <c r="E1136" s="24">
        <v>2520</v>
      </c>
      <c r="F1136" s="30" t="s">
        <v>1252</v>
      </c>
      <c r="G1136" s="24" t="s">
        <v>1679</v>
      </c>
      <c r="H1136" s="24" t="s">
        <v>2278</v>
      </c>
      <c r="I1136" s="24" t="s">
        <v>1232</v>
      </c>
      <c r="K1136" s="24" t="s">
        <v>1224</v>
      </c>
      <c r="L1136" s="24" t="s">
        <v>1225</v>
      </c>
      <c r="M1136" s="24" t="str">
        <f t="shared" si="17"/>
        <v>XWOFSA17</v>
      </c>
    </row>
    <row r="1137" spans="1:13" ht="11.4" customHeight="1">
      <c r="A1137" s="24" t="s">
        <v>2280</v>
      </c>
      <c r="B1137" s="24" t="s">
        <v>2092</v>
      </c>
      <c r="C1137" s="24">
        <v>0.5</v>
      </c>
      <c r="D1137" s="24">
        <v>1265</v>
      </c>
      <c r="E1137" s="24">
        <v>3100</v>
      </c>
      <c r="F1137" s="30" t="s">
        <v>1252</v>
      </c>
      <c r="G1137" s="24" t="s">
        <v>1679</v>
      </c>
      <c r="H1137" s="24" t="s">
        <v>2278</v>
      </c>
      <c r="I1137" s="24" t="s">
        <v>1232</v>
      </c>
      <c r="K1137" s="24" t="s">
        <v>1224</v>
      </c>
      <c r="L1137" s="24" t="s">
        <v>1225</v>
      </c>
      <c r="M1137" s="24" t="str">
        <f t="shared" si="17"/>
        <v>XWOFSA16</v>
      </c>
    </row>
    <row r="1138" spans="1:13" ht="11.4" customHeight="1">
      <c r="A1138" s="24" t="s">
        <v>2281</v>
      </c>
      <c r="B1138" s="24" t="s">
        <v>2092</v>
      </c>
      <c r="C1138" s="24">
        <v>0.5</v>
      </c>
      <c r="D1138" s="24">
        <v>1265</v>
      </c>
      <c r="E1138" s="24">
        <v>3100</v>
      </c>
      <c r="F1138" s="30" t="s">
        <v>1252</v>
      </c>
      <c r="G1138" s="24" t="s">
        <v>1679</v>
      </c>
      <c r="H1138" s="24" t="s">
        <v>2278</v>
      </c>
      <c r="I1138" s="24" t="s">
        <v>1232</v>
      </c>
      <c r="K1138" s="24" t="s">
        <v>1224</v>
      </c>
      <c r="L1138" s="24" t="s">
        <v>1225</v>
      </c>
      <c r="M1138" s="24" t="str">
        <f t="shared" si="17"/>
        <v>XWOFSA16</v>
      </c>
    </row>
    <row r="1139" spans="1:13" ht="11.4" customHeight="1">
      <c r="A1139" s="24" t="s">
        <v>2282</v>
      </c>
      <c r="B1139" s="24" t="s">
        <v>2092</v>
      </c>
      <c r="C1139" s="24">
        <v>0.5</v>
      </c>
      <c r="D1139" s="24">
        <v>50</v>
      </c>
      <c r="E1139" s="24">
        <v>123</v>
      </c>
      <c r="F1139" s="24">
        <v>0</v>
      </c>
      <c r="G1139" s="24" t="s">
        <v>1679</v>
      </c>
      <c r="H1139" s="24" t="s">
        <v>1633</v>
      </c>
      <c r="I1139" s="24" t="s">
        <v>1223</v>
      </c>
      <c r="J1139" s="24" t="s">
        <v>1122</v>
      </c>
      <c r="K1139" s="24" t="s">
        <v>1224</v>
      </c>
      <c r="L1139" s="24" t="s">
        <v>1615</v>
      </c>
      <c r="M1139" s="24" t="str">
        <f t="shared" si="17"/>
        <v>KWOFBA06</v>
      </c>
    </row>
    <row r="1140" spans="1:13" s="35" customFormat="1" ht="11.4" customHeight="1">
      <c r="A1140" s="35" t="s">
        <v>1202</v>
      </c>
      <c r="B1140" s="35" t="s">
        <v>2092</v>
      </c>
      <c r="C1140" s="35">
        <v>0.5</v>
      </c>
      <c r="D1140" s="35">
        <v>1265</v>
      </c>
      <c r="E1140" s="35">
        <v>2520</v>
      </c>
      <c r="F1140" s="36" t="s">
        <v>1252</v>
      </c>
      <c r="G1140" s="35" t="s">
        <v>1679</v>
      </c>
      <c r="H1140" s="35" t="s">
        <v>1633</v>
      </c>
      <c r="I1140" s="35" t="s">
        <v>1232</v>
      </c>
      <c r="K1140" s="35" t="s">
        <v>1224</v>
      </c>
      <c r="L1140" s="35" t="s">
        <v>1225</v>
      </c>
      <c r="M1140" s="35" t="str">
        <f t="shared" si="17"/>
        <v>XWOFSA03</v>
      </c>
    </row>
    <row r="1141" spans="1:13" ht="11.4" customHeight="1">
      <c r="A1141" s="24" t="s">
        <v>572</v>
      </c>
      <c r="B1141" s="24" t="s">
        <v>2092</v>
      </c>
      <c r="C1141" s="24">
        <v>0.5</v>
      </c>
      <c r="D1141" s="24">
        <v>1265</v>
      </c>
      <c r="E1141" s="24">
        <v>2520</v>
      </c>
      <c r="F1141" s="30" t="s">
        <v>1252</v>
      </c>
      <c r="G1141" s="24" t="s">
        <v>1679</v>
      </c>
      <c r="H1141" s="24" t="s">
        <v>1633</v>
      </c>
      <c r="I1141" s="24" t="s">
        <v>1232</v>
      </c>
      <c r="K1141" s="24" t="s">
        <v>1224</v>
      </c>
      <c r="L1141" s="24" t="s">
        <v>1225</v>
      </c>
      <c r="M1141" s="24" t="str">
        <f t="shared" si="17"/>
        <v>XWOFSA03</v>
      </c>
    </row>
    <row r="1142" spans="1:13" ht="11.4" customHeight="1">
      <c r="A1142" s="24" t="s">
        <v>2283</v>
      </c>
      <c r="B1142" s="24" t="s">
        <v>2092</v>
      </c>
      <c r="C1142" s="24">
        <v>0.5</v>
      </c>
      <c r="D1142" s="24">
        <v>1265</v>
      </c>
      <c r="E1142" s="24">
        <v>3100</v>
      </c>
      <c r="G1142" s="24" t="s">
        <v>1679</v>
      </c>
      <c r="H1142" s="24" t="s">
        <v>1633</v>
      </c>
      <c r="I1142" s="24" t="s">
        <v>1232</v>
      </c>
      <c r="K1142" s="24" t="s">
        <v>1224</v>
      </c>
      <c r="L1142" s="24" t="s">
        <v>1225</v>
      </c>
      <c r="M1142" s="24" t="str">
        <f t="shared" si="17"/>
        <v>XWOFSA19</v>
      </c>
    </row>
    <row r="1143" spans="1:13" ht="11.4" customHeight="1">
      <c r="A1143" s="24" t="s">
        <v>2284</v>
      </c>
      <c r="B1143" s="24" t="s">
        <v>2092</v>
      </c>
      <c r="C1143" s="24">
        <v>0.5</v>
      </c>
      <c r="D1143" s="24">
        <v>1265</v>
      </c>
      <c r="E1143" s="24">
        <v>3100</v>
      </c>
      <c r="G1143" s="24" t="s">
        <v>1679</v>
      </c>
      <c r="H1143" s="24" t="s">
        <v>1633</v>
      </c>
      <c r="I1143" s="24" t="s">
        <v>1232</v>
      </c>
      <c r="K1143" s="24" t="s">
        <v>1224</v>
      </c>
      <c r="L1143" s="24" t="s">
        <v>1225</v>
      </c>
      <c r="M1143" s="24" t="str">
        <f t="shared" si="17"/>
        <v>XWOFSA19</v>
      </c>
    </row>
    <row r="1144" spans="1:13" ht="11.4" customHeight="1">
      <c r="A1144" s="24" t="s">
        <v>2285</v>
      </c>
      <c r="B1144" s="24" t="s">
        <v>2092</v>
      </c>
      <c r="C1144" s="24">
        <v>0.5</v>
      </c>
      <c r="D1144" s="24">
        <v>1265</v>
      </c>
      <c r="E1144" s="24">
        <v>2520</v>
      </c>
      <c r="F1144" s="30" t="s">
        <v>1252</v>
      </c>
      <c r="G1144" s="24" t="s">
        <v>1679</v>
      </c>
      <c r="H1144" s="24" t="s">
        <v>1150</v>
      </c>
      <c r="I1144" s="24" t="s">
        <v>1232</v>
      </c>
      <c r="K1144" s="24" t="s">
        <v>1224</v>
      </c>
      <c r="L1144" s="24" t="s">
        <v>1225</v>
      </c>
      <c r="M1144" s="24" t="str">
        <f t="shared" si="17"/>
        <v>XWOFSA09</v>
      </c>
    </row>
    <row r="1145" spans="1:13" ht="11.4" customHeight="1">
      <c r="A1145" s="24" t="s">
        <v>2286</v>
      </c>
      <c r="B1145" s="24" t="s">
        <v>2092</v>
      </c>
      <c r="C1145" s="24">
        <v>0.5</v>
      </c>
      <c r="D1145" s="24">
        <v>1265</v>
      </c>
      <c r="E1145" s="24">
        <v>2520</v>
      </c>
      <c r="F1145" s="30" t="s">
        <v>1252</v>
      </c>
      <c r="G1145" s="24" t="s">
        <v>1679</v>
      </c>
      <c r="H1145" s="24" t="s">
        <v>1150</v>
      </c>
      <c r="I1145" s="24" t="s">
        <v>1232</v>
      </c>
      <c r="K1145" s="24" t="s">
        <v>1224</v>
      </c>
      <c r="L1145" s="24" t="s">
        <v>1225</v>
      </c>
      <c r="M1145" s="24" t="str">
        <f t="shared" si="17"/>
        <v>XWOFSA09</v>
      </c>
    </row>
    <row r="1146" spans="1:13" ht="11.4" customHeight="1">
      <c r="A1146" s="24" t="s">
        <v>1205</v>
      </c>
      <c r="B1146" s="24" t="s">
        <v>2092</v>
      </c>
      <c r="C1146" s="24">
        <v>0.5</v>
      </c>
      <c r="D1146" s="24">
        <v>1265</v>
      </c>
      <c r="E1146" s="24">
        <v>2520</v>
      </c>
      <c r="F1146" s="30" t="s">
        <v>1252</v>
      </c>
      <c r="G1146" s="24" t="s">
        <v>1679</v>
      </c>
      <c r="H1146" s="24" t="s">
        <v>1137</v>
      </c>
      <c r="I1146" s="24" t="s">
        <v>1223</v>
      </c>
      <c r="K1146" s="24" t="s">
        <v>1224</v>
      </c>
      <c r="L1146" s="24" t="s">
        <v>1225</v>
      </c>
      <c r="M1146" s="24" t="str">
        <f t="shared" si="17"/>
        <v>XWOFBB01</v>
      </c>
    </row>
    <row r="1147" spans="1:13" ht="11.4" customHeight="1">
      <c r="A1147" s="24" t="s">
        <v>610</v>
      </c>
      <c r="B1147" s="24" t="s">
        <v>2092</v>
      </c>
      <c r="C1147" s="24">
        <v>0.5</v>
      </c>
      <c r="D1147" s="24">
        <v>1265</v>
      </c>
      <c r="E1147" s="24">
        <v>2520</v>
      </c>
      <c r="F1147" s="30" t="s">
        <v>1252</v>
      </c>
      <c r="G1147" s="24" t="s">
        <v>1679</v>
      </c>
      <c r="H1147" s="24" t="s">
        <v>1137</v>
      </c>
      <c r="I1147" s="24" t="s">
        <v>1223</v>
      </c>
      <c r="K1147" s="24" t="s">
        <v>1224</v>
      </c>
      <c r="L1147" s="24" t="s">
        <v>1225</v>
      </c>
      <c r="M1147" s="24" t="str">
        <f t="shared" si="17"/>
        <v>XWOFBB01</v>
      </c>
    </row>
    <row r="1148" spans="1:13" ht="11.4" customHeight="1">
      <c r="A1148" s="24" t="s">
        <v>2287</v>
      </c>
      <c r="B1148" s="24" t="s">
        <v>2092</v>
      </c>
      <c r="C1148" s="24">
        <v>0.5</v>
      </c>
      <c r="D1148" s="24">
        <v>1265</v>
      </c>
      <c r="E1148" s="24">
        <v>2520</v>
      </c>
      <c r="F1148" s="30" t="s">
        <v>1252</v>
      </c>
      <c r="G1148" s="24" t="s">
        <v>1679</v>
      </c>
      <c r="H1148" s="24" t="s">
        <v>1137</v>
      </c>
      <c r="I1148" s="24" t="s">
        <v>1237</v>
      </c>
      <c r="K1148" s="24" t="s">
        <v>1224</v>
      </c>
      <c r="L1148" s="24" t="s">
        <v>1225</v>
      </c>
      <c r="M1148" s="24" t="str">
        <f t="shared" si="17"/>
        <v>XWOFPB01</v>
      </c>
    </row>
    <row r="1149" spans="1:13" ht="11.4" customHeight="1">
      <c r="A1149" s="24" t="s">
        <v>2288</v>
      </c>
      <c r="B1149" s="24" t="s">
        <v>2092</v>
      </c>
      <c r="C1149" s="24">
        <v>0.5</v>
      </c>
      <c r="D1149" s="24">
        <v>1265</v>
      </c>
      <c r="E1149" s="24">
        <v>2520</v>
      </c>
      <c r="F1149" s="30" t="s">
        <v>1252</v>
      </c>
      <c r="G1149" s="24" t="s">
        <v>1679</v>
      </c>
      <c r="H1149" s="24" t="s">
        <v>1137</v>
      </c>
      <c r="I1149" s="24" t="s">
        <v>1237</v>
      </c>
      <c r="K1149" s="24" t="s">
        <v>1224</v>
      </c>
      <c r="L1149" s="24" t="s">
        <v>1225</v>
      </c>
      <c r="M1149" s="24" t="str">
        <f t="shared" si="17"/>
        <v>XWOFPB01</v>
      </c>
    </row>
    <row r="1150" spans="1:13" ht="11.4" customHeight="1">
      <c r="A1150" s="24" t="s">
        <v>2289</v>
      </c>
      <c r="B1150" s="24" t="s">
        <v>2092</v>
      </c>
      <c r="C1150" s="24">
        <v>0.5</v>
      </c>
      <c r="D1150" s="24">
        <v>50</v>
      </c>
      <c r="E1150" s="24">
        <v>99</v>
      </c>
      <c r="F1150" s="24">
        <v>0</v>
      </c>
      <c r="G1150" s="24" t="s">
        <v>1679</v>
      </c>
      <c r="H1150" s="24" t="s">
        <v>1137</v>
      </c>
      <c r="I1150" s="24" t="s">
        <v>1232</v>
      </c>
      <c r="J1150" s="24" t="s">
        <v>1122</v>
      </c>
      <c r="K1150" s="24" t="s">
        <v>1224</v>
      </c>
      <c r="L1150" s="24" t="s">
        <v>1615</v>
      </c>
      <c r="M1150" s="24" t="str">
        <f t="shared" si="17"/>
        <v>KWOFSB01</v>
      </c>
    </row>
    <row r="1151" spans="1:13" ht="11.4" customHeight="1">
      <c r="A1151" s="24" t="s">
        <v>1199</v>
      </c>
      <c r="B1151" s="24" t="s">
        <v>2092</v>
      </c>
      <c r="C1151" s="24">
        <v>0.5</v>
      </c>
      <c r="D1151" s="24">
        <v>1265</v>
      </c>
      <c r="E1151" s="24">
        <v>2520</v>
      </c>
      <c r="F1151" s="30" t="s">
        <v>1252</v>
      </c>
      <c r="G1151" s="24" t="s">
        <v>1679</v>
      </c>
      <c r="H1151" s="24" t="s">
        <v>1137</v>
      </c>
      <c r="I1151" s="24" t="s">
        <v>1232</v>
      </c>
      <c r="K1151" s="24" t="s">
        <v>1224</v>
      </c>
      <c r="L1151" s="24" t="s">
        <v>1225</v>
      </c>
      <c r="M1151" s="24" t="str">
        <f t="shared" si="17"/>
        <v>XWOFSB01</v>
      </c>
    </row>
    <row r="1152" spans="1:13" ht="11.4" customHeight="1">
      <c r="A1152" s="24" t="s">
        <v>607</v>
      </c>
      <c r="B1152" s="24" t="s">
        <v>2092</v>
      </c>
      <c r="C1152" s="24">
        <v>0.5</v>
      </c>
      <c r="D1152" s="24">
        <v>1265</v>
      </c>
      <c r="E1152" s="24">
        <v>2520</v>
      </c>
      <c r="F1152" s="30" t="s">
        <v>1252</v>
      </c>
      <c r="G1152" s="24" t="s">
        <v>1679</v>
      </c>
      <c r="H1152" s="24" t="s">
        <v>1137</v>
      </c>
      <c r="I1152" s="24" t="s">
        <v>1232</v>
      </c>
      <c r="K1152" s="24" t="s">
        <v>1224</v>
      </c>
      <c r="L1152" s="24" t="s">
        <v>1225</v>
      </c>
      <c r="M1152" s="24" t="str">
        <f t="shared" si="17"/>
        <v>XWOFSB01</v>
      </c>
    </row>
    <row r="1153" spans="1:13" ht="11.4" customHeight="1">
      <c r="A1153" s="24" t="s">
        <v>2290</v>
      </c>
      <c r="B1153" s="24" t="s">
        <v>2092</v>
      </c>
      <c r="C1153" s="24">
        <v>0.5</v>
      </c>
      <c r="D1153" s="24">
        <v>1265</v>
      </c>
      <c r="E1153" s="24">
        <v>3100</v>
      </c>
      <c r="F1153" s="30" t="s">
        <v>1252</v>
      </c>
      <c r="G1153" s="24" t="s">
        <v>1679</v>
      </c>
      <c r="H1153" s="24" t="s">
        <v>1137</v>
      </c>
      <c r="I1153" s="24" t="s">
        <v>1232</v>
      </c>
      <c r="K1153" s="24" t="s">
        <v>1224</v>
      </c>
      <c r="L1153" s="24" t="s">
        <v>1225</v>
      </c>
      <c r="M1153" s="24" t="str">
        <f t="shared" si="17"/>
        <v>XWOFSB02</v>
      </c>
    </row>
    <row r="1154" spans="1:13" ht="11.4" customHeight="1">
      <c r="A1154" s="24" t="s">
        <v>2291</v>
      </c>
      <c r="B1154" s="24" t="s">
        <v>2092</v>
      </c>
      <c r="C1154" s="24">
        <v>0.5</v>
      </c>
      <c r="D1154" s="24">
        <v>1265</v>
      </c>
      <c r="E1154" s="24">
        <v>3100</v>
      </c>
      <c r="F1154" s="30" t="s">
        <v>1252</v>
      </c>
      <c r="G1154" s="24" t="s">
        <v>1679</v>
      </c>
      <c r="H1154" s="24" t="s">
        <v>1137</v>
      </c>
      <c r="I1154" s="24" t="s">
        <v>1232</v>
      </c>
      <c r="K1154" s="24" t="s">
        <v>1224</v>
      </c>
      <c r="L1154" s="24" t="s">
        <v>1225</v>
      </c>
      <c r="M1154" s="24" t="str">
        <f t="shared" si="17"/>
        <v>XWOFSB02</v>
      </c>
    </row>
    <row r="1155" spans="1:13" ht="11.4" customHeight="1">
      <c r="A1155" s="24" t="s">
        <v>2292</v>
      </c>
      <c r="B1155" s="24" t="s">
        <v>2092</v>
      </c>
      <c r="C1155" s="24">
        <v>0.5</v>
      </c>
      <c r="D1155" s="24">
        <v>965</v>
      </c>
      <c r="E1155" s="24">
        <v>3100</v>
      </c>
      <c r="F1155" s="30" t="s">
        <v>1252</v>
      </c>
      <c r="G1155" s="24" t="s">
        <v>1679</v>
      </c>
      <c r="H1155" s="24" t="s">
        <v>2293</v>
      </c>
      <c r="I1155" s="24" t="s">
        <v>1223</v>
      </c>
      <c r="K1155" s="24" t="s">
        <v>1224</v>
      </c>
      <c r="L1155" s="24" t="s">
        <v>1339</v>
      </c>
      <c r="M1155" s="24" t="str">
        <f t="shared" si="17"/>
        <v>XWOFBB02</v>
      </c>
    </row>
    <row r="1156" spans="1:13" ht="11.4" customHeight="1">
      <c r="A1156" s="24" t="s">
        <v>2294</v>
      </c>
      <c r="B1156" s="24" t="s">
        <v>2092</v>
      </c>
      <c r="C1156" s="24">
        <v>0.5</v>
      </c>
      <c r="D1156" s="24">
        <v>965</v>
      </c>
      <c r="E1156" s="24">
        <v>3100</v>
      </c>
      <c r="F1156" s="30" t="s">
        <v>1252</v>
      </c>
      <c r="G1156" s="24" t="s">
        <v>1679</v>
      </c>
      <c r="H1156" s="24" t="s">
        <v>2293</v>
      </c>
      <c r="I1156" s="24" t="s">
        <v>1223</v>
      </c>
      <c r="K1156" s="24" t="s">
        <v>1224</v>
      </c>
      <c r="L1156" s="24" t="s">
        <v>1339</v>
      </c>
      <c r="M1156" s="24" t="str">
        <f t="shared" ref="M1156:M1219" si="18">RIGHT(A1156,8)</f>
        <v>XWOFBB02</v>
      </c>
    </row>
    <row r="1157" spans="1:13" ht="11.4" customHeight="1">
      <c r="A1157" s="24" t="s">
        <v>1198</v>
      </c>
      <c r="B1157" s="24" t="s">
        <v>2092</v>
      </c>
      <c r="C1157" s="24">
        <v>0.5</v>
      </c>
      <c r="D1157" s="24">
        <v>1265</v>
      </c>
      <c r="E1157" s="24">
        <v>2520</v>
      </c>
      <c r="F1157" s="30" t="s">
        <v>1221</v>
      </c>
      <c r="G1157" s="24" t="s">
        <v>1679</v>
      </c>
      <c r="H1157" s="24" t="s">
        <v>1278</v>
      </c>
      <c r="I1157" s="24" t="s">
        <v>1232</v>
      </c>
      <c r="K1157" s="24" t="s">
        <v>1224</v>
      </c>
      <c r="L1157" s="24" t="s">
        <v>1225</v>
      </c>
      <c r="M1157" s="24" t="str">
        <f t="shared" si="18"/>
        <v>XWOFSC01</v>
      </c>
    </row>
    <row r="1158" spans="1:13" ht="11.4" customHeight="1">
      <c r="A1158" s="24" t="s">
        <v>672</v>
      </c>
      <c r="B1158" s="24" t="s">
        <v>2092</v>
      </c>
      <c r="C1158" s="24">
        <v>0.5</v>
      </c>
      <c r="D1158" s="24">
        <v>1265</v>
      </c>
      <c r="E1158" s="24">
        <v>2520</v>
      </c>
      <c r="F1158" s="30" t="s">
        <v>1221</v>
      </c>
      <c r="G1158" s="24" t="s">
        <v>1679</v>
      </c>
      <c r="H1158" s="24" t="s">
        <v>1278</v>
      </c>
      <c r="I1158" s="24" t="s">
        <v>1232</v>
      </c>
      <c r="K1158" s="24" t="s">
        <v>1224</v>
      </c>
      <c r="L1158" s="24" t="s">
        <v>1225</v>
      </c>
      <c r="M1158" s="24" t="str">
        <f t="shared" si="18"/>
        <v>XWOFSC01</v>
      </c>
    </row>
    <row r="1159" spans="1:13" ht="11.4" customHeight="1">
      <c r="A1159" s="24" t="s">
        <v>2295</v>
      </c>
      <c r="B1159" s="24" t="s">
        <v>2092</v>
      </c>
      <c r="C1159" s="24">
        <v>0.5</v>
      </c>
      <c r="D1159" s="24">
        <v>1265</v>
      </c>
      <c r="E1159" s="24">
        <v>3100</v>
      </c>
      <c r="F1159" s="30" t="s">
        <v>1221</v>
      </c>
      <c r="G1159" s="24" t="s">
        <v>1679</v>
      </c>
      <c r="H1159" s="24" t="s">
        <v>1278</v>
      </c>
      <c r="I1159" s="24" t="s">
        <v>1232</v>
      </c>
      <c r="K1159" s="24" t="s">
        <v>1224</v>
      </c>
      <c r="L1159" s="24" t="s">
        <v>1225</v>
      </c>
      <c r="M1159" s="24" t="str">
        <f t="shared" si="18"/>
        <v>XWOFSC03</v>
      </c>
    </row>
    <row r="1160" spans="1:13" ht="11.4" customHeight="1">
      <c r="A1160" s="24" t="s">
        <v>2296</v>
      </c>
      <c r="B1160" s="24" t="s">
        <v>2092</v>
      </c>
      <c r="C1160" s="24">
        <v>0.5</v>
      </c>
      <c r="D1160" s="24">
        <v>1265</v>
      </c>
      <c r="E1160" s="24">
        <v>3100</v>
      </c>
      <c r="F1160" s="30" t="s">
        <v>1221</v>
      </c>
      <c r="G1160" s="24" t="s">
        <v>1679</v>
      </c>
      <c r="H1160" s="24" t="s">
        <v>1278</v>
      </c>
      <c r="I1160" s="24" t="s">
        <v>1232</v>
      </c>
      <c r="K1160" s="24" t="s">
        <v>1224</v>
      </c>
      <c r="L1160" s="24" t="s">
        <v>1225</v>
      </c>
      <c r="M1160" s="24" t="str">
        <f t="shared" si="18"/>
        <v>XWOFSC03</v>
      </c>
    </row>
    <row r="1161" spans="1:13" ht="11.4" customHeight="1">
      <c r="A1161" s="24" t="s">
        <v>2297</v>
      </c>
      <c r="B1161" s="24" t="s">
        <v>2092</v>
      </c>
      <c r="C1161" s="24">
        <v>0.5</v>
      </c>
      <c r="D1161" s="24">
        <v>1265</v>
      </c>
      <c r="E1161" s="24">
        <v>3300</v>
      </c>
      <c r="F1161" s="30" t="s">
        <v>1221</v>
      </c>
      <c r="G1161" s="24" t="s">
        <v>1679</v>
      </c>
      <c r="H1161" s="24" t="s">
        <v>1278</v>
      </c>
      <c r="I1161" s="24" t="s">
        <v>1232</v>
      </c>
      <c r="K1161" s="24" t="s">
        <v>1224</v>
      </c>
      <c r="L1161" s="24" t="s">
        <v>1225</v>
      </c>
      <c r="M1161" s="24" t="str">
        <f t="shared" si="18"/>
        <v>XWOFSC02</v>
      </c>
    </row>
    <row r="1162" spans="1:13" ht="11.4" customHeight="1">
      <c r="A1162" s="24" t="s">
        <v>664</v>
      </c>
      <c r="B1162" s="24" t="s">
        <v>2092</v>
      </c>
      <c r="C1162" s="24">
        <v>0.5</v>
      </c>
      <c r="D1162" s="24">
        <v>1265</v>
      </c>
      <c r="E1162" s="24">
        <v>3300</v>
      </c>
      <c r="F1162" s="30" t="s">
        <v>1221</v>
      </c>
      <c r="G1162" s="24" t="s">
        <v>1679</v>
      </c>
      <c r="H1162" s="24" t="s">
        <v>1278</v>
      </c>
      <c r="I1162" s="24" t="s">
        <v>1232</v>
      </c>
      <c r="K1162" s="24" t="s">
        <v>1224</v>
      </c>
      <c r="L1162" s="24" t="s">
        <v>1225</v>
      </c>
      <c r="M1162" s="24" t="str">
        <f t="shared" si="18"/>
        <v>XWOFSC02</v>
      </c>
    </row>
    <row r="1163" spans="1:13" ht="11.4" customHeight="1">
      <c r="A1163" s="24" t="s">
        <v>2298</v>
      </c>
      <c r="B1163" s="24" t="s">
        <v>2092</v>
      </c>
      <c r="C1163" s="24">
        <v>0.5</v>
      </c>
      <c r="D1163" s="24">
        <v>965</v>
      </c>
      <c r="E1163" s="24">
        <v>2250</v>
      </c>
      <c r="F1163" s="30" t="s">
        <v>1252</v>
      </c>
      <c r="G1163" s="24" t="s">
        <v>1679</v>
      </c>
      <c r="H1163" s="24" t="s">
        <v>1380</v>
      </c>
      <c r="I1163" s="24" t="s">
        <v>1223</v>
      </c>
      <c r="K1163" s="24" t="s">
        <v>1224</v>
      </c>
      <c r="L1163" s="24" t="s">
        <v>1339</v>
      </c>
      <c r="M1163" s="24" t="str">
        <f t="shared" si="18"/>
        <v>XWOFBA04</v>
      </c>
    </row>
    <row r="1164" spans="1:13" ht="11.4" customHeight="1">
      <c r="A1164" s="24" t="s">
        <v>1069</v>
      </c>
      <c r="B1164" s="24" t="s">
        <v>2092</v>
      </c>
      <c r="C1164" s="24">
        <v>0.5</v>
      </c>
      <c r="D1164" s="24">
        <v>965</v>
      </c>
      <c r="E1164" s="24">
        <v>2250</v>
      </c>
      <c r="F1164" s="30" t="s">
        <v>1252</v>
      </c>
      <c r="G1164" s="24" t="s">
        <v>1679</v>
      </c>
      <c r="H1164" s="24" t="s">
        <v>1380</v>
      </c>
      <c r="I1164" s="24" t="s">
        <v>1223</v>
      </c>
      <c r="K1164" s="24" t="s">
        <v>1224</v>
      </c>
      <c r="L1164" s="24" t="s">
        <v>1339</v>
      </c>
      <c r="M1164" s="24" t="str">
        <f t="shared" si="18"/>
        <v>XWOFBA04</v>
      </c>
    </row>
    <row r="1165" spans="1:13" ht="11.4" customHeight="1">
      <c r="A1165" s="24" t="s">
        <v>2299</v>
      </c>
      <c r="B1165" s="24" t="s">
        <v>2092</v>
      </c>
      <c r="C1165" s="24">
        <v>0.5</v>
      </c>
      <c r="D1165" s="24">
        <v>965</v>
      </c>
      <c r="E1165" s="24">
        <v>2520</v>
      </c>
      <c r="F1165" s="30" t="s">
        <v>1252</v>
      </c>
      <c r="G1165" s="24" t="s">
        <v>1679</v>
      </c>
      <c r="H1165" s="24" t="s">
        <v>1380</v>
      </c>
      <c r="I1165" s="24" t="s">
        <v>1223</v>
      </c>
      <c r="K1165" s="24" t="s">
        <v>1224</v>
      </c>
      <c r="L1165" s="24" t="s">
        <v>1339</v>
      </c>
      <c r="M1165" s="24" t="str">
        <f t="shared" si="18"/>
        <v>XWOFBA03</v>
      </c>
    </row>
    <row r="1166" spans="1:13" ht="11.4" customHeight="1">
      <c r="A1166" s="24" t="s">
        <v>2300</v>
      </c>
      <c r="B1166" s="24" t="s">
        <v>2092</v>
      </c>
      <c r="C1166" s="24">
        <v>0.5</v>
      </c>
      <c r="D1166" s="24">
        <v>1265</v>
      </c>
      <c r="E1166" s="24">
        <v>2520</v>
      </c>
      <c r="F1166" s="30" t="s">
        <v>1252</v>
      </c>
      <c r="G1166" s="24" t="s">
        <v>1679</v>
      </c>
      <c r="H1166" s="24" t="s">
        <v>1380</v>
      </c>
      <c r="I1166" s="24" t="s">
        <v>1223</v>
      </c>
      <c r="K1166" s="24" t="s">
        <v>1224</v>
      </c>
      <c r="L1166" s="24" t="s">
        <v>1339</v>
      </c>
      <c r="M1166" s="24" t="str">
        <f t="shared" si="18"/>
        <v>XWOFBA05</v>
      </c>
    </row>
    <row r="1167" spans="1:13" ht="11.4" customHeight="1">
      <c r="A1167" s="24" t="s">
        <v>1072</v>
      </c>
      <c r="B1167" s="24" t="s">
        <v>2092</v>
      </c>
      <c r="C1167" s="24">
        <v>0.5</v>
      </c>
      <c r="D1167" s="24">
        <v>965</v>
      </c>
      <c r="E1167" s="24">
        <v>2520</v>
      </c>
      <c r="F1167" s="30" t="s">
        <v>1252</v>
      </c>
      <c r="G1167" s="24" t="s">
        <v>1679</v>
      </c>
      <c r="H1167" s="24" t="s">
        <v>1380</v>
      </c>
      <c r="I1167" s="24" t="s">
        <v>1223</v>
      </c>
      <c r="K1167" s="24" t="s">
        <v>1224</v>
      </c>
      <c r="L1167" s="24" t="s">
        <v>1339</v>
      </c>
      <c r="M1167" s="24" t="str">
        <f t="shared" si="18"/>
        <v>XWOFBA03</v>
      </c>
    </row>
    <row r="1168" spans="1:13" ht="11.4" customHeight="1">
      <c r="A1168" s="24" t="s">
        <v>1084</v>
      </c>
      <c r="B1168" s="24" t="s">
        <v>2092</v>
      </c>
      <c r="C1168" s="24">
        <v>0.5</v>
      </c>
      <c r="D1168" s="24">
        <v>1265</v>
      </c>
      <c r="E1168" s="24">
        <v>2520</v>
      </c>
      <c r="F1168" s="30" t="s">
        <v>1252</v>
      </c>
      <c r="G1168" s="24" t="s">
        <v>1679</v>
      </c>
      <c r="H1168" s="24" t="s">
        <v>1380</v>
      </c>
      <c r="I1168" s="24" t="s">
        <v>1223</v>
      </c>
      <c r="K1168" s="24" t="s">
        <v>1224</v>
      </c>
      <c r="L1168" s="24" t="s">
        <v>1339</v>
      </c>
      <c r="M1168" s="24" t="str">
        <f t="shared" si="18"/>
        <v>XWOFBA05</v>
      </c>
    </row>
    <row r="1169" spans="1:13" ht="11.4" customHeight="1">
      <c r="A1169" s="24" t="s">
        <v>2301</v>
      </c>
      <c r="B1169" s="24" t="s">
        <v>2092</v>
      </c>
      <c r="C1169" s="24">
        <v>0.5</v>
      </c>
      <c r="D1169" s="24">
        <v>965</v>
      </c>
      <c r="E1169" s="24">
        <v>2800</v>
      </c>
      <c r="F1169" s="30" t="s">
        <v>1252</v>
      </c>
      <c r="G1169" s="24" t="s">
        <v>1679</v>
      </c>
      <c r="H1169" s="24" t="s">
        <v>1380</v>
      </c>
      <c r="I1169" s="24" t="s">
        <v>1223</v>
      </c>
      <c r="K1169" s="24" t="s">
        <v>1224</v>
      </c>
      <c r="L1169" s="24" t="s">
        <v>1339</v>
      </c>
      <c r="M1169" s="24" t="str">
        <f t="shared" si="18"/>
        <v>XWOFBA02</v>
      </c>
    </row>
    <row r="1170" spans="1:13" ht="11.4" customHeight="1">
      <c r="A1170" s="24" t="s">
        <v>2302</v>
      </c>
      <c r="B1170" s="24" t="s">
        <v>2092</v>
      </c>
      <c r="C1170" s="24">
        <v>0.5</v>
      </c>
      <c r="D1170" s="24">
        <v>930</v>
      </c>
      <c r="E1170" s="24">
        <v>2800</v>
      </c>
      <c r="F1170" s="30" t="s">
        <v>1252</v>
      </c>
      <c r="G1170" s="24" t="s">
        <v>1679</v>
      </c>
      <c r="H1170" s="24" t="s">
        <v>1385</v>
      </c>
      <c r="I1170" s="24" t="s">
        <v>1223</v>
      </c>
      <c r="K1170" s="24" t="s">
        <v>1224</v>
      </c>
      <c r="L1170" s="24" t="s">
        <v>1339</v>
      </c>
      <c r="M1170" s="24" t="str">
        <f t="shared" si="18"/>
        <v>XWOFBA51</v>
      </c>
    </row>
    <row r="1171" spans="1:13" ht="11.4" customHeight="1">
      <c r="A1171" s="24" t="s">
        <v>2303</v>
      </c>
      <c r="B1171" s="24" t="s">
        <v>2092</v>
      </c>
      <c r="C1171" s="24">
        <v>0.5</v>
      </c>
      <c r="D1171" s="24">
        <v>965</v>
      </c>
      <c r="E1171" s="24">
        <v>2800</v>
      </c>
      <c r="F1171" s="30" t="s">
        <v>1252</v>
      </c>
      <c r="G1171" s="24" t="s">
        <v>1679</v>
      </c>
      <c r="H1171" s="24" t="s">
        <v>1380</v>
      </c>
      <c r="I1171" s="24" t="s">
        <v>1223</v>
      </c>
      <c r="K1171" s="24" t="s">
        <v>1224</v>
      </c>
      <c r="L1171" s="24" t="s">
        <v>1339</v>
      </c>
      <c r="M1171" s="24" t="str">
        <f t="shared" si="18"/>
        <v>XWOFBA02</v>
      </c>
    </row>
    <row r="1172" spans="1:13" ht="11.4" customHeight="1">
      <c r="A1172" s="24" t="s">
        <v>1078</v>
      </c>
      <c r="B1172" s="24" t="s">
        <v>2092</v>
      </c>
      <c r="C1172" s="24">
        <v>0.5</v>
      </c>
      <c r="D1172" s="24">
        <v>930</v>
      </c>
      <c r="E1172" s="24">
        <v>2800</v>
      </c>
      <c r="F1172" s="30" t="s">
        <v>1252</v>
      </c>
      <c r="G1172" s="24" t="s">
        <v>1679</v>
      </c>
      <c r="H1172" s="24" t="s">
        <v>1385</v>
      </c>
      <c r="I1172" s="24" t="s">
        <v>1223</v>
      </c>
      <c r="K1172" s="24" t="s">
        <v>1224</v>
      </c>
      <c r="L1172" s="24" t="s">
        <v>1339</v>
      </c>
      <c r="M1172" s="24" t="str">
        <f t="shared" si="18"/>
        <v>XWOFBA51</v>
      </c>
    </row>
    <row r="1173" spans="1:13" ht="11.4" customHeight="1">
      <c r="A1173" s="24" t="s">
        <v>2304</v>
      </c>
      <c r="B1173" s="24" t="s">
        <v>2092</v>
      </c>
      <c r="C1173" s="24">
        <v>0.5</v>
      </c>
      <c r="D1173" s="24">
        <v>965</v>
      </c>
      <c r="E1173" s="24">
        <v>2520</v>
      </c>
      <c r="F1173" s="30" t="s">
        <v>1252</v>
      </c>
      <c r="G1173" s="24" t="s">
        <v>1679</v>
      </c>
      <c r="H1173" s="24" t="s">
        <v>1380</v>
      </c>
      <c r="I1173" s="24" t="s">
        <v>1232</v>
      </c>
      <c r="K1173" s="24" t="s">
        <v>1224</v>
      </c>
      <c r="L1173" s="24" t="s">
        <v>1339</v>
      </c>
      <c r="M1173" s="24" t="str">
        <f t="shared" si="18"/>
        <v>XWOFSA04</v>
      </c>
    </row>
    <row r="1174" spans="1:13" ht="11.4" customHeight="1">
      <c r="A1174" s="24" t="s">
        <v>2305</v>
      </c>
      <c r="B1174" s="24" t="s">
        <v>2092</v>
      </c>
      <c r="C1174" s="24">
        <v>0.5</v>
      </c>
      <c r="D1174" s="24">
        <v>1265</v>
      </c>
      <c r="E1174" s="24">
        <v>2520</v>
      </c>
      <c r="F1174" s="24" t="s">
        <v>1252</v>
      </c>
      <c r="G1174" s="24" t="s">
        <v>1679</v>
      </c>
      <c r="H1174" s="24" t="s">
        <v>1380</v>
      </c>
      <c r="I1174" s="24" t="s">
        <v>1232</v>
      </c>
      <c r="K1174" s="24" t="s">
        <v>1224</v>
      </c>
      <c r="L1174" s="24" t="s">
        <v>1339</v>
      </c>
      <c r="M1174" s="24" t="str">
        <f t="shared" si="18"/>
        <v>XWOFSA05</v>
      </c>
    </row>
    <row r="1175" spans="1:13" ht="11.4" customHeight="1">
      <c r="A1175" s="24" t="s">
        <v>1075</v>
      </c>
      <c r="B1175" s="24" t="s">
        <v>2092</v>
      </c>
      <c r="C1175" s="24">
        <v>0.5</v>
      </c>
      <c r="D1175" s="24">
        <v>965</v>
      </c>
      <c r="E1175" s="24">
        <v>2520</v>
      </c>
      <c r="F1175" s="30" t="s">
        <v>1252</v>
      </c>
      <c r="G1175" s="24" t="s">
        <v>1679</v>
      </c>
      <c r="H1175" s="24" t="s">
        <v>1380</v>
      </c>
      <c r="I1175" s="24" t="s">
        <v>1232</v>
      </c>
      <c r="K1175" s="24" t="s">
        <v>1224</v>
      </c>
      <c r="L1175" s="24" t="s">
        <v>1339</v>
      </c>
      <c r="M1175" s="24" t="str">
        <f t="shared" si="18"/>
        <v>XWOFSA04</v>
      </c>
    </row>
    <row r="1176" spans="1:13" ht="11.4" customHeight="1">
      <c r="A1176" s="24" t="s">
        <v>1081</v>
      </c>
      <c r="B1176" s="24" t="s">
        <v>2092</v>
      </c>
      <c r="C1176" s="24">
        <v>0.5</v>
      </c>
      <c r="D1176" s="24">
        <v>1265</v>
      </c>
      <c r="E1176" s="24">
        <v>2520</v>
      </c>
      <c r="F1176" s="30" t="s">
        <v>1252</v>
      </c>
      <c r="G1176" s="24" t="s">
        <v>1679</v>
      </c>
      <c r="H1176" s="24" t="s">
        <v>1380</v>
      </c>
      <c r="I1176" s="24" t="s">
        <v>1232</v>
      </c>
      <c r="K1176" s="24" t="s">
        <v>1224</v>
      </c>
      <c r="L1176" s="24" t="s">
        <v>1339</v>
      </c>
      <c r="M1176" s="24" t="str">
        <f t="shared" si="18"/>
        <v>XWOFSA05</v>
      </c>
    </row>
    <row r="1177" spans="1:13" ht="11.4" customHeight="1">
      <c r="A1177" s="24" t="s">
        <v>2306</v>
      </c>
      <c r="B1177" s="24" t="s">
        <v>2092</v>
      </c>
      <c r="C1177" s="24">
        <v>0.5</v>
      </c>
      <c r="D1177" s="24">
        <v>50</v>
      </c>
      <c r="E1177" s="24">
        <v>99</v>
      </c>
      <c r="F1177" s="24">
        <v>0</v>
      </c>
      <c r="G1177" s="24" t="s">
        <v>1679</v>
      </c>
      <c r="H1177" s="24" t="s">
        <v>2307</v>
      </c>
      <c r="I1177" s="24" t="s">
        <v>1232</v>
      </c>
      <c r="J1177" s="24" t="s">
        <v>1122</v>
      </c>
      <c r="K1177" s="24" t="s">
        <v>1224</v>
      </c>
      <c r="L1177" s="24" t="s">
        <v>1615</v>
      </c>
      <c r="M1177" s="24" t="str">
        <f t="shared" si="18"/>
        <v>KWOFSS01</v>
      </c>
    </row>
    <row r="1178" spans="1:13" ht="11.4" customHeight="1">
      <c r="A1178" s="24" t="s">
        <v>2308</v>
      </c>
      <c r="B1178" s="24" t="s">
        <v>2092</v>
      </c>
      <c r="C1178" s="24">
        <v>0.5</v>
      </c>
      <c r="D1178" s="24">
        <v>50</v>
      </c>
      <c r="E1178" s="24">
        <v>99</v>
      </c>
      <c r="F1178" s="24"/>
      <c r="G1178" s="24" t="s">
        <v>1679</v>
      </c>
      <c r="H1178" s="24" t="s">
        <v>1662</v>
      </c>
      <c r="I1178" s="24" t="s">
        <v>1240</v>
      </c>
      <c r="J1178" s="24" t="s">
        <v>1122</v>
      </c>
      <c r="K1178" s="24" t="s">
        <v>1224</v>
      </c>
      <c r="L1178" s="24" t="s">
        <v>1615</v>
      </c>
      <c r="M1178" s="24" t="str">
        <f t="shared" si="18"/>
        <v>KWOFZS02</v>
      </c>
    </row>
    <row r="1179" spans="1:13" ht="11.4" customHeight="1">
      <c r="A1179" s="24" t="s">
        <v>2309</v>
      </c>
      <c r="B1179" s="24" t="s">
        <v>2092</v>
      </c>
      <c r="C1179" s="24">
        <v>0.5</v>
      </c>
      <c r="D1179" s="24">
        <v>50</v>
      </c>
      <c r="E1179" s="24">
        <v>123</v>
      </c>
      <c r="F1179" s="24">
        <v>0</v>
      </c>
      <c r="G1179" s="24" t="s">
        <v>1679</v>
      </c>
      <c r="H1179" s="24" t="s">
        <v>1662</v>
      </c>
      <c r="I1179" s="24" t="s">
        <v>1240</v>
      </c>
      <c r="J1179" s="24" t="s">
        <v>1122</v>
      </c>
      <c r="K1179" s="24" t="s">
        <v>1224</v>
      </c>
      <c r="L1179" s="24" t="s">
        <v>1615</v>
      </c>
      <c r="M1179" s="24" t="str">
        <f t="shared" si="18"/>
        <v>KWOFZS01</v>
      </c>
    </row>
    <row r="1180" spans="1:13" ht="11.4" customHeight="1">
      <c r="A1180" s="24" t="s">
        <v>1176</v>
      </c>
      <c r="B1180" s="24" t="s">
        <v>2092</v>
      </c>
      <c r="C1180" s="24">
        <v>0.4</v>
      </c>
      <c r="D1180" s="24">
        <v>1265</v>
      </c>
      <c r="E1180" s="24">
        <v>3100</v>
      </c>
      <c r="F1180" s="30" t="s">
        <v>1240</v>
      </c>
      <c r="G1180" s="24" t="s">
        <v>1222</v>
      </c>
      <c r="H1180" s="24" t="s">
        <v>1163</v>
      </c>
      <c r="I1180" s="24" t="s">
        <v>1240</v>
      </c>
      <c r="K1180" s="24" t="s">
        <v>1224</v>
      </c>
      <c r="L1180" s="24" t="s">
        <v>1225</v>
      </c>
      <c r="M1180" s="24" t="str">
        <f t="shared" si="18"/>
        <v>XWOPZW03</v>
      </c>
    </row>
    <row r="1181" spans="1:13" ht="11.4" customHeight="1">
      <c r="A1181" s="24" t="s">
        <v>2310</v>
      </c>
      <c r="B1181" s="24" t="s">
        <v>2092</v>
      </c>
      <c r="C1181" s="24">
        <v>0.5</v>
      </c>
      <c r="D1181" s="24">
        <v>1265</v>
      </c>
      <c r="E1181" s="24">
        <v>2520</v>
      </c>
      <c r="F1181" s="30" t="s">
        <v>1240</v>
      </c>
      <c r="G1181" s="24" t="s">
        <v>1679</v>
      </c>
      <c r="H1181" s="24" t="s">
        <v>1163</v>
      </c>
      <c r="I1181" s="24" t="s">
        <v>1240</v>
      </c>
      <c r="K1181" s="24" t="s">
        <v>1224</v>
      </c>
      <c r="L1181" s="24" t="s">
        <v>1225</v>
      </c>
      <c r="M1181" s="24" t="str">
        <f t="shared" si="18"/>
        <v>XWOFZW01</v>
      </c>
    </row>
    <row r="1182" spans="1:13" ht="11.4" customHeight="1">
      <c r="A1182" s="24" t="s">
        <v>1159</v>
      </c>
      <c r="B1182" s="24" t="s">
        <v>2092</v>
      </c>
      <c r="C1182" s="24">
        <v>0.5</v>
      </c>
      <c r="D1182" s="24">
        <v>1265</v>
      </c>
      <c r="E1182" s="24">
        <v>2520</v>
      </c>
      <c r="F1182" s="30" t="s">
        <v>1240</v>
      </c>
      <c r="G1182" s="24" t="s">
        <v>1679</v>
      </c>
      <c r="H1182" s="24" t="s">
        <v>1163</v>
      </c>
      <c r="I1182" s="24" t="s">
        <v>1240</v>
      </c>
      <c r="K1182" s="24" t="s">
        <v>1224</v>
      </c>
      <c r="L1182" s="24" t="s">
        <v>1225</v>
      </c>
      <c r="M1182" s="24" t="str">
        <f t="shared" si="18"/>
        <v>XWOFZW01</v>
      </c>
    </row>
    <row r="1183" spans="1:13" ht="11.4" customHeight="1">
      <c r="A1183" s="24" t="s">
        <v>2311</v>
      </c>
      <c r="B1183" s="24" t="s">
        <v>2092</v>
      </c>
      <c r="C1183" s="24">
        <v>0.5</v>
      </c>
      <c r="D1183" s="24">
        <v>1265</v>
      </c>
      <c r="E1183" s="24">
        <v>3100</v>
      </c>
      <c r="F1183" s="30" t="s">
        <v>1240</v>
      </c>
      <c r="G1183" s="24" t="s">
        <v>1679</v>
      </c>
      <c r="H1183" s="24" t="s">
        <v>1163</v>
      </c>
      <c r="I1183" s="24" t="s">
        <v>1240</v>
      </c>
      <c r="K1183" s="24" t="s">
        <v>1224</v>
      </c>
      <c r="L1183" s="24" t="s">
        <v>1225</v>
      </c>
      <c r="M1183" s="24" t="str">
        <f t="shared" si="18"/>
        <v>XWOFZW02</v>
      </c>
    </row>
    <row r="1184" spans="1:13" ht="11.4" customHeight="1">
      <c r="A1184" s="24" t="s">
        <v>1160</v>
      </c>
      <c r="B1184" s="24" t="s">
        <v>2092</v>
      </c>
      <c r="C1184" s="24">
        <v>0.5</v>
      </c>
      <c r="D1184" s="24">
        <v>1265</v>
      </c>
      <c r="E1184" s="24">
        <v>3100</v>
      </c>
      <c r="F1184" s="30" t="s">
        <v>1240</v>
      </c>
      <c r="G1184" s="24" t="s">
        <v>1679</v>
      </c>
      <c r="H1184" s="24" t="s">
        <v>1163</v>
      </c>
      <c r="I1184" s="24" t="s">
        <v>1240</v>
      </c>
      <c r="K1184" s="24" t="s">
        <v>1224</v>
      </c>
      <c r="L1184" s="24" t="s">
        <v>1225</v>
      </c>
      <c r="M1184" s="24" t="str">
        <f t="shared" si="18"/>
        <v>XWOFZW02</v>
      </c>
    </row>
    <row r="1185" spans="1:13" ht="11.4" customHeight="1">
      <c r="A1185" s="24" t="s">
        <v>2312</v>
      </c>
      <c r="B1185" s="24" t="s">
        <v>2092</v>
      </c>
      <c r="C1185" s="24">
        <v>0.4</v>
      </c>
      <c r="D1185" s="24">
        <v>1265</v>
      </c>
      <c r="E1185" s="24">
        <v>3100</v>
      </c>
      <c r="F1185" s="30" t="s">
        <v>1221</v>
      </c>
      <c r="G1185" s="24" t="s">
        <v>1222</v>
      </c>
      <c r="H1185" s="24" t="s">
        <v>1278</v>
      </c>
      <c r="I1185" s="24" t="s">
        <v>1223</v>
      </c>
      <c r="K1185" s="24" t="s">
        <v>1224</v>
      </c>
      <c r="L1185" s="24" t="s">
        <v>1225</v>
      </c>
      <c r="M1185" s="24" t="str">
        <f t="shared" si="18"/>
        <v>XWOPBC03</v>
      </c>
    </row>
    <row r="1186" spans="1:13" ht="11.4" customHeight="1">
      <c r="A1186" s="24" t="s">
        <v>2313</v>
      </c>
      <c r="B1186" s="24" t="s">
        <v>2092</v>
      </c>
      <c r="C1186" s="24">
        <v>0.4</v>
      </c>
      <c r="D1186" s="24">
        <v>1265</v>
      </c>
      <c r="E1186" s="24">
        <v>3100</v>
      </c>
      <c r="F1186" s="30" t="s">
        <v>1221</v>
      </c>
      <c r="G1186" s="24" t="s">
        <v>1222</v>
      </c>
      <c r="H1186" s="24" t="s">
        <v>1278</v>
      </c>
      <c r="I1186" s="24" t="s">
        <v>1223</v>
      </c>
      <c r="K1186" s="24" t="s">
        <v>1224</v>
      </c>
      <c r="L1186" s="24" t="s">
        <v>1225</v>
      </c>
      <c r="M1186" s="24" t="str">
        <f t="shared" si="18"/>
        <v>XWOPBC03</v>
      </c>
    </row>
    <row r="1187" spans="1:13" ht="11.4" customHeight="1">
      <c r="A1187" s="24" t="s">
        <v>2314</v>
      </c>
      <c r="B1187" s="24" t="s">
        <v>2092</v>
      </c>
      <c r="C1187" s="24">
        <v>0.5</v>
      </c>
      <c r="D1187" s="24">
        <v>1265</v>
      </c>
      <c r="E1187" s="24">
        <v>3100</v>
      </c>
      <c r="F1187" s="30" t="s">
        <v>1221</v>
      </c>
      <c r="G1187" s="24" t="s">
        <v>1222</v>
      </c>
      <c r="H1187" s="24" t="s">
        <v>1278</v>
      </c>
      <c r="I1187" s="24" t="s">
        <v>1223</v>
      </c>
      <c r="K1187" s="24" t="s">
        <v>1224</v>
      </c>
      <c r="L1187" s="24" t="s">
        <v>1225</v>
      </c>
      <c r="M1187" s="24" t="str">
        <f t="shared" si="18"/>
        <v>XWOPBC04</v>
      </c>
    </row>
    <row r="1188" spans="1:13" ht="11.4" customHeight="1">
      <c r="A1188" s="24" t="s">
        <v>2315</v>
      </c>
      <c r="B1188" s="24" t="s">
        <v>2092</v>
      </c>
      <c r="C1188" s="24">
        <v>0.5</v>
      </c>
      <c r="D1188" s="24">
        <v>1265</v>
      </c>
      <c r="E1188" s="24">
        <v>3100</v>
      </c>
      <c r="F1188" s="30" t="s">
        <v>1221</v>
      </c>
      <c r="G1188" s="24" t="s">
        <v>1222</v>
      </c>
      <c r="H1188" s="24" t="s">
        <v>1278</v>
      </c>
      <c r="I1188" s="24" t="s">
        <v>1223</v>
      </c>
      <c r="K1188" s="24" t="s">
        <v>1224</v>
      </c>
      <c r="L1188" s="24" t="s">
        <v>1225</v>
      </c>
      <c r="M1188" s="24" t="str">
        <f t="shared" si="18"/>
        <v>XWOPBC04</v>
      </c>
    </row>
    <row r="1189" spans="1:13" ht="11.4" customHeight="1">
      <c r="A1189" s="24" t="s">
        <v>2316</v>
      </c>
      <c r="B1189" s="24" t="s">
        <v>2092</v>
      </c>
      <c r="C1189" s="24">
        <v>0.4</v>
      </c>
      <c r="D1189" s="24">
        <v>1265</v>
      </c>
      <c r="E1189" s="24">
        <v>3100</v>
      </c>
      <c r="F1189" s="30" t="s">
        <v>1221</v>
      </c>
      <c r="G1189" s="24" t="s">
        <v>1222</v>
      </c>
      <c r="H1189" s="24" t="s">
        <v>1244</v>
      </c>
      <c r="I1189" s="24" t="s">
        <v>1230</v>
      </c>
      <c r="K1189" s="24" t="s">
        <v>1224</v>
      </c>
      <c r="L1189" s="24" t="s">
        <v>1225</v>
      </c>
      <c r="M1189" s="24" t="str">
        <f t="shared" si="18"/>
        <v>XWOPM204</v>
      </c>
    </row>
    <row r="1190" spans="1:13" ht="11.4" customHeight="1">
      <c r="A1190" s="24" t="s">
        <v>2317</v>
      </c>
      <c r="B1190" s="24" t="s">
        <v>2092</v>
      </c>
      <c r="C1190" s="24">
        <v>0.4</v>
      </c>
      <c r="D1190" s="24">
        <v>1265</v>
      </c>
      <c r="E1190" s="24">
        <v>3100</v>
      </c>
      <c r="F1190" s="30" t="s">
        <v>1221</v>
      </c>
      <c r="G1190" s="24" t="s">
        <v>1222</v>
      </c>
      <c r="H1190" s="24" t="s">
        <v>1244</v>
      </c>
      <c r="I1190" s="24" t="s">
        <v>1230</v>
      </c>
      <c r="K1190" s="24" t="s">
        <v>1224</v>
      </c>
      <c r="L1190" s="24" t="s">
        <v>1225</v>
      </c>
      <c r="M1190" s="24" t="str">
        <f t="shared" si="18"/>
        <v>XWOPM204</v>
      </c>
    </row>
    <row r="1191" spans="1:13" ht="11.4" customHeight="1">
      <c r="A1191" s="24" t="s">
        <v>2318</v>
      </c>
      <c r="B1191" s="24" t="s">
        <v>2092</v>
      </c>
      <c r="C1191" s="24">
        <v>0.4</v>
      </c>
      <c r="D1191" s="24">
        <v>1265</v>
      </c>
      <c r="E1191" s="24">
        <v>3100</v>
      </c>
      <c r="F1191" s="30" t="s">
        <v>1221</v>
      </c>
      <c r="G1191" s="24" t="s">
        <v>1679</v>
      </c>
      <c r="H1191" s="24" t="s">
        <v>1109</v>
      </c>
      <c r="I1191" s="24" t="s">
        <v>1230</v>
      </c>
      <c r="K1191" s="24" t="s">
        <v>1224</v>
      </c>
      <c r="L1191" s="24" t="s">
        <v>1225</v>
      </c>
      <c r="M1191" s="24" t="str">
        <f t="shared" si="18"/>
        <v>XWOFM106</v>
      </c>
    </row>
    <row r="1192" spans="1:13" ht="11.4" customHeight="1">
      <c r="A1192" s="24" t="s">
        <v>2319</v>
      </c>
      <c r="B1192" s="24" t="s">
        <v>2092</v>
      </c>
      <c r="C1192" s="24">
        <v>0.4</v>
      </c>
      <c r="D1192" s="24">
        <v>1265</v>
      </c>
      <c r="E1192" s="24">
        <v>3100</v>
      </c>
      <c r="F1192" s="30" t="s">
        <v>1221</v>
      </c>
      <c r="G1192" s="24" t="s">
        <v>1679</v>
      </c>
      <c r="H1192" s="24" t="s">
        <v>1109</v>
      </c>
      <c r="I1192" s="24" t="s">
        <v>1230</v>
      </c>
      <c r="K1192" s="24" t="s">
        <v>1224</v>
      </c>
      <c r="L1192" s="24" t="s">
        <v>1225</v>
      </c>
      <c r="M1192" s="24" t="str">
        <f t="shared" si="18"/>
        <v>XWOFM106</v>
      </c>
    </row>
    <row r="1193" spans="1:13" ht="11.4" customHeight="1">
      <c r="A1193" s="24" t="s">
        <v>2320</v>
      </c>
      <c r="B1193" s="24" t="s">
        <v>2092</v>
      </c>
      <c r="C1193" s="24">
        <v>0.4</v>
      </c>
      <c r="D1193" s="24">
        <v>1265</v>
      </c>
      <c r="E1193" s="24">
        <v>3100</v>
      </c>
      <c r="F1193" s="30" t="s">
        <v>1221</v>
      </c>
      <c r="G1193" s="24" t="s">
        <v>2321</v>
      </c>
      <c r="H1193" s="24" t="s">
        <v>1109</v>
      </c>
      <c r="I1193" s="24" t="s">
        <v>1230</v>
      </c>
      <c r="K1193" s="24" t="s">
        <v>1224</v>
      </c>
      <c r="L1193" s="24" t="s">
        <v>1225</v>
      </c>
      <c r="M1193" s="24" t="str">
        <f t="shared" si="18"/>
        <v>XWOPM105</v>
      </c>
    </row>
    <row r="1194" spans="1:13" ht="11.4" customHeight="1">
      <c r="A1194" s="24" t="s">
        <v>2322</v>
      </c>
      <c r="B1194" s="24" t="s">
        <v>2092</v>
      </c>
      <c r="C1194" s="24">
        <v>0.4</v>
      </c>
      <c r="D1194" s="24">
        <v>1265</v>
      </c>
      <c r="E1194" s="24">
        <v>3100</v>
      </c>
      <c r="F1194" s="30" t="s">
        <v>1221</v>
      </c>
      <c r="G1194" s="24" t="s">
        <v>2321</v>
      </c>
      <c r="H1194" s="24" t="s">
        <v>1109</v>
      </c>
      <c r="I1194" s="24" t="s">
        <v>1230</v>
      </c>
      <c r="K1194" s="24" t="s">
        <v>1224</v>
      </c>
      <c r="L1194" s="24" t="s">
        <v>1225</v>
      </c>
      <c r="M1194" s="24" t="str">
        <f t="shared" si="18"/>
        <v>XWOPM105</v>
      </c>
    </row>
    <row r="1195" spans="1:13" s="33" customFormat="1" ht="11.4" customHeight="1">
      <c r="A1195" s="33" t="s">
        <v>2323</v>
      </c>
      <c r="B1195" s="33" t="s">
        <v>2092</v>
      </c>
      <c r="C1195" s="33">
        <v>0.4</v>
      </c>
      <c r="D1195" s="33">
        <v>1265</v>
      </c>
      <c r="E1195" s="33">
        <v>2520</v>
      </c>
      <c r="F1195" s="34" t="s">
        <v>1221</v>
      </c>
      <c r="G1195" s="33" t="s">
        <v>2321</v>
      </c>
      <c r="H1195" s="33" t="s">
        <v>1244</v>
      </c>
      <c r="I1195" s="33" t="s">
        <v>1230</v>
      </c>
      <c r="K1195" s="33" t="s">
        <v>1224</v>
      </c>
      <c r="L1195" s="33" t="s">
        <v>1225</v>
      </c>
      <c r="M1195" s="33" t="str">
        <f t="shared" si="18"/>
        <v>XWOPM202</v>
      </c>
    </row>
    <row r="1196" spans="1:13" s="33" customFormat="1" ht="11.4" customHeight="1">
      <c r="A1196" s="33" t="s">
        <v>2324</v>
      </c>
      <c r="B1196" s="33" t="s">
        <v>2092</v>
      </c>
      <c r="C1196" s="33">
        <v>0.4</v>
      </c>
      <c r="D1196" s="33">
        <v>1265</v>
      </c>
      <c r="E1196" s="33">
        <v>2520</v>
      </c>
      <c r="F1196" s="34" t="s">
        <v>1221</v>
      </c>
      <c r="G1196" s="33" t="s">
        <v>2321</v>
      </c>
      <c r="H1196" s="33" t="s">
        <v>1244</v>
      </c>
      <c r="I1196" s="33" t="s">
        <v>1230</v>
      </c>
      <c r="K1196" s="33" t="s">
        <v>1224</v>
      </c>
      <c r="L1196" s="33" t="s">
        <v>1225</v>
      </c>
      <c r="M1196" s="33" t="str">
        <f t="shared" si="18"/>
        <v>XWOPM202</v>
      </c>
    </row>
    <row r="1197" spans="1:13" ht="11.4" customHeight="1">
      <c r="A1197" s="24" t="s">
        <v>2325</v>
      </c>
      <c r="B1197" s="24" t="s">
        <v>2092</v>
      </c>
      <c r="C1197" s="24">
        <v>1</v>
      </c>
      <c r="D1197" s="24">
        <v>144</v>
      </c>
      <c r="E1197" s="24">
        <v>1250</v>
      </c>
      <c r="F1197" s="30" t="s">
        <v>1252</v>
      </c>
      <c r="G1197" s="24" t="s">
        <v>1222</v>
      </c>
      <c r="H1197" s="24" t="s">
        <v>1150</v>
      </c>
      <c r="I1197" s="24" t="s">
        <v>1240</v>
      </c>
      <c r="K1197" s="24" t="s">
        <v>1224</v>
      </c>
      <c r="L1197" s="24" t="s">
        <v>1225</v>
      </c>
      <c r="M1197" s="24" t="str">
        <f t="shared" si="18"/>
        <v>XWOPZA10</v>
      </c>
    </row>
    <row r="1198" spans="1:13" ht="11.4" customHeight="1">
      <c r="A1198" s="24" t="s">
        <v>2326</v>
      </c>
      <c r="B1198" s="24" t="s">
        <v>2092</v>
      </c>
      <c r="C1198" s="24">
        <v>1</v>
      </c>
      <c r="D1198" s="24">
        <v>144</v>
      </c>
      <c r="E1198" s="24">
        <v>1250</v>
      </c>
      <c r="F1198" s="30" t="s">
        <v>1252</v>
      </c>
      <c r="G1198" s="24" t="s">
        <v>1222</v>
      </c>
      <c r="H1198" s="24" t="s">
        <v>1150</v>
      </c>
      <c r="I1198" s="24" t="s">
        <v>1240</v>
      </c>
      <c r="K1198" s="24" t="s">
        <v>1224</v>
      </c>
      <c r="L1198" s="24" t="s">
        <v>1225</v>
      </c>
      <c r="M1198" s="24" t="str">
        <f t="shared" si="18"/>
        <v>XWOPZA10</v>
      </c>
    </row>
    <row r="1199" spans="1:13" ht="11.4" customHeight="1">
      <c r="A1199" s="24" t="s">
        <v>2327</v>
      </c>
      <c r="B1199" s="24" t="s">
        <v>2328</v>
      </c>
      <c r="C1199" s="24">
        <v>0.2</v>
      </c>
      <c r="D1199" s="24">
        <v>1265</v>
      </c>
      <c r="E1199" s="24">
        <v>2520</v>
      </c>
      <c r="F1199" s="30" t="s">
        <v>1252</v>
      </c>
      <c r="G1199" s="24" t="s">
        <v>1222</v>
      </c>
      <c r="H1199" s="24" t="s">
        <v>1137</v>
      </c>
      <c r="I1199" s="24" t="s">
        <v>1223</v>
      </c>
      <c r="K1199" s="24" t="s">
        <v>1224</v>
      </c>
      <c r="L1199" s="24" t="s">
        <v>1225</v>
      </c>
      <c r="M1199" s="24" t="str">
        <f t="shared" si="18"/>
        <v>XWAPBB02</v>
      </c>
    </row>
    <row r="1200" spans="1:13" ht="11.4" customHeight="1">
      <c r="A1200" s="24" t="s">
        <v>2329</v>
      </c>
      <c r="B1200" s="24" t="s">
        <v>2328</v>
      </c>
      <c r="C1200" s="24">
        <v>0.2</v>
      </c>
      <c r="D1200" s="24">
        <v>1265</v>
      </c>
      <c r="E1200" s="24">
        <v>2520</v>
      </c>
      <c r="F1200" s="30" t="s">
        <v>1252</v>
      </c>
      <c r="G1200" s="24" t="s">
        <v>1222</v>
      </c>
      <c r="H1200" s="24" t="s">
        <v>1137</v>
      </c>
      <c r="I1200" s="24" t="s">
        <v>1223</v>
      </c>
      <c r="K1200" s="24" t="s">
        <v>1224</v>
      </c>
      <c r="L1200" s="24" t="s">
        <v>1225</v>
      </c>
      <c r="M1200" s="24" t="str">
        <f t="shared" si="18"/>
        <v>XWAPBB02</v>
      </c>
    </row>
    <row r="1201" spans="1:13" ht="11.4" customHeight="1">
      <c r="A1201" s="24" t="s">
        <v>2330</v>
      </c>
      <c r="B1201" s="24" t="s">
        <v>2328</v>
      </c>
      <c r="C1201" s="24">
        <v>0.25</v>
      </c>
      <c r="D1201" s="24">
        <v>1265</v>
      </c>
      <c r="E1201" s="24">
        <v>2520</v>
      </c>
      <c r="F1201" s="30" t="s">
        <v>1221</v>
      </c>
      <c r="G1201" s="24" t="s">
        <v>1222</v>
      </c>
      <c r="H1201" s="24" t="s">
        <v>1244</v>
      </c>
      <c r="I1201" s="24" t="s">
        <v>1223</v>
      </c>
      <c r="K1201" s="24" t="s">
        <v>1224</v>
      </c>
      <c r="L1201" s="24" t="s">
        <v>1225</v>
      </c>
      <c r="M1201" s="24" t="str">
        <f t="shared" si="18"/>
        <v>XWAPB202</v>
      </c>
    </row>
    <row r="1202" spans="1:13" ht="11.4" customHeight="1">
      <c r="A1202" s="24" t="s">
        <v>2331</v>
      </c>
      <c r="B1202" s="24" t="s">
        <v>2328</v>
      </c>
      <c r="C1202" s="24">
        <v>0.25</v>
      </c>
      <c r="D1202" s="24">
        <v>1265</v>
      </c>
      <c r="E1202" s="24">
        <v>2520</v>
      </c>
      <c r="F1202" s="30" t="s">
        <v>1221</v>
      </c>
      <c r="G1202" s="24" t="s">
        <v>1222</v>
      </c>
      <c r="H1202" s="24" t="s">
        <v>1244</v>
      </c>
      <c r="I1202" s="24" t="s">
        <v>1223</v>
      </c>
      <c r="K1202" s="24" t="s">
        <v>1224</v>
      </c>
      <c r="L1202" s="24" t="s">
        <v>1225</v>
      </c>
      <c r="M1202" s="24" t="str">
        <f t="shared" si="18"/>
        <v>XWAPB202</v>
      </c>
    </row>
    <row r="1203" spans="1:13" ht="11.4" customHeight="1">
      <c r="A1203" s="24" t="s">
        <v>2332</v>
      </c>
      <c r="B1203" s="24" t="s">
        <v>2328</v>
      </c>
      <c r="C1203" s="24">
        <v>0.5</v>
      </c>
      <c r="D1203" s="24">
        <v>1265</v>
      </c>
      <c r="E1203" s="24">
        <v>2520</v>
      </c>
      <c r="F1203" s="30" t="s">
        <v>1221</v>
      </c>
      <c r="G1203" s="24" t="s">
        <v>1222</v>
      </c>
      <c r="H1203" s="24" t="s">
        <v>1109</v>
      </c>
      <c r="I1203" s="24" t="s">
        <v>1223</v>
      </c>
      <c r="K1203" s="24" t="s">
        <v>1224</v>
      </c>
      <c r="L1203" s="24" t="s">
        <v>1225</v>
      </c>
      <c r="M1203" s="24" t="str">
        <f t="shared" si="18"/>
        <v>XWAPB101</v>
      </c>
    </row>
    <row r="1204" spans="1:13" ht="11.4" customHeight="1">
      <c r="A1204" s="24" t="s">
        <v>308</v>
      </c>
      <c r="B1204" s="24" t="s">
        <v>2328</v>
      </c>
      <c r="C1204" s="24">
        <v>0.5</v>
      </c>
      <c r="D1204" s="24">
        <v>1265</v>
      </c>
      <c r="E1204" s="24">
        <v>2520</v>
      </c>
      <c r="F1204" s="30" t="s">
        <v>1221</v>
      </c>
      <c r="G1204" s="24" t="s">
        <v>1222</v>
      </c>
      <c r="H1204" s="24" t="s">
        <v>1109</v>
      </c>
      <c r="I1204" s="24" t="s">
        <v>1223</v>
      </c>
      <c r="K1204" s="24" t="s">
        <v>1224</v>
      </c>
      <c r="L1204" s="24" t="s">
        <v>1225</v>
      </c>
      <c r="M1204" s="24" t="str">
        <f t="shared" si="18"/>
        <v>XWAPB101</v>
      </c>
    </row>
    <row r="1205" spans="1:13" ht="11.4" customHeight="1">
      <c r="A1205" s="24" t="s">
        <v>2333</v>
      </c>
      <c r="B1205" s="24" t="s">
        <v>2328</v>
      </c>
      <c r="C1205" s="24">
        <v>0.5</v>
      </c>
      <c r="D1205" s="24">
        <v>1265</v>
      </c>
      <c r="E1205" s="24">
        <v>2520</v>
      </c>
      <c r="F1205" s="30" t="s">
        <v>1221</v>
      </c>
      <c r="G1205" s="24" t="s">
        <v>1222</v>
      </c>
      <c r="H1205" s="24" t="s">
        <v>1109</v>
      </c>
      <c r="I1205" s="24" t="s">
        <v>1230</v>
      </c>
      <c r="K1205" s="24" t="s">
        <v>1224</v>
      </c>
      <c r="L1205" s="24" t="s">
        <v>1225</v>
      </c>
      <c r="M1205" s="24" t="str">
        <f t="shared" si="18"/>
        <v>XWAPM101</v>
      </c>
    </row>
    <row r="1206" spans="1:13" ht="11.4" customHeight="1">
      <c r="A1206" s="24" t="s">
        <v>305</v>
      </c>
      <c r="B1206" s="24" t="s">
        <v>2328</v>
      </c>
      <c r="C1206" s="24">
        <v>0.5</v>
      </c>
      <c r="D1206" s="24">
        <v>1265</v>
      </c>
      <c r="E1206" s="24">
        <v>2520</v>
      </c>
      <c r="F1206" s="30" t="s">
        <v>1221</v>
      </c>
      <c r="G1206" s="24" t="s">
        <v>1222</v>
      </c>
      <c r="H1206" s="24" t="s">
        <v>1109</v>
      </c>
      <c r="I1206" s="24" t="s">
        <v>1230</v>
      </c>
      <c r="K1206" s="24" t="s">
        <v>1224</v>
      </c>
      <c r="L1206" s="24" t="s">
        <v>1225</v>
      </c>
      <c r="M1206" s="24" t="str">
        <f t="shared" si="18"/>
        <v>XWAPM101</v>
      </c>
    </row>
    <row r="1207" spans="1:13" ht="11.4" customHeight="1">
      <c r="A1207" s="24" t="s">
        <v>2334</v>
      </c>
      <c r="B1207" s="24" t="s">
        <v>2328</v>
      </c>
      <c r="C1207" s="24">
        <v>0.5</v>
      </c>
      <c r="D1207" s="24">
        <v>1265</v>
      </c>
      <c r="E1207" s="24">
        <v>3100</v>
      </c>
      <c r="F1207" s="30" t="s">
        <v>1221</v>
      </c>
      <c r="G1207" s="24" t="s">
        <v>1222</v>
      </c>
      <c r="H1207" s="24" t="s">
        <v>1109</v>
      </c>
      <c r="I1207" s="24" t="s">
        <v>1230</v>
      </c>
      <c r="K1207" s="24" t="s">
        <v>1224</v>
      </c>
      <c r="L1207" s="24" t="s">
        <v>1225</v>
      </c>
      <c r="M1207" s="24" t="str">
        <f t="shared" si="18"/>
        <v>XWAPM109</v>
      </c>
    </row>
    <row r="1208" spans="1:13" ht="11.4" customHeight="1">
      <c r="A1208" s="24" t="s">
        <v>2335</v>
      </c>
      <c r="B1208" s="24" t="s">
        <v>2328</v>
      </c>
      <c r="C1208" s="24">
        <v>0.5</v>
      </c>
      <c r="D1208" s="24">
        <v>1265</v>
      </c>
      <c r="E1208" s="24">
        <v>3100</v>
      </c>
      <c r="F1208" s="30" t="s">
        <v>1221</v>
      </c>
      <c r="G1208" s="24" t="s">
        <v>1222</v>
      </c>
      <c r="H1208" s="24" t="s">
        <v>1109</v>
      </c>
      <c r="I1208" s="24" t="s">
        <v>1230</v>
      </c>
      <c r="K1208" s="24" t="s">
        <v>1224</v>
      </c>
      <c r="L1208" s="24" t="s">
        <v>1225</v>
      </c>
      <c r="M1208" s="24" t="str">
        <f t="shared" si="18"/>
        <v>XWAPM109</v>
      </c>
    </row>
    <row r="1209" spans="1:13" ht="11.4" customHeight="1">
      <c r="A1209" s="24" t="s">
        <v>2336</v>
      </c>
      <c r="B1209" s="24" t="s">
        <v>2328</v>
      </c>
      <c r="C1209" s="24">
        <v>0.5</v>
      </c>
      <c r="D1209" s="24">
        <v>1265</v>
      </c>
      <c r="E1209" s="24">
        <v>3300</v>
      </c>
      <c r="F1209" s="30" t="s">
        <v>1221</v>
      </c>
      <c r="G1209" s="24" t="s">
        <v>1222</v>
      </c>
      <c r="H1209" s="24" t="s">
        <v>1109</v>
      </c>
      <c r="I1209" s="24" t="s">
        <v>1230</v>
      </c>
      <c r="K1209" s="24" t="s">
        <v>1224</v>
      </c>
      <c r="L1209" s="24" t="s">
        <v>1225</v>
      </c>
      <c r="M1209" s="24" t="str">
        <f t="shared" si="18"/>
        <v>XWAPM102</v>
      </c>
    </row>
    <row r="1210" spans="1:13" ht="11.4" customHeight="1">
      <c r="A1210" s="24" t="s">
        <v>2337</v>
      </c>
      <c r="B1210" s="24" t="s">
        <v>2328</v>
      </c>
      <c r="C1210" s="24">
        <v>0.5</v>
      </c>
      <c r="D1210" s="24">
        <v>1265</v>
      </c>
      <c r="E1210" s="24">
        <v>3300</v>
      </c>
      <c r="F1210" s="30" t="s">
        <v>1221</v>
      </c>
      <c r="G1210" s="24" t="s">
        <v>1222</v>
      </c>
      <c r="H1210" s="24" t="s">
        <v>1109</v>
      </c>
      <c r="I1210" s="24" t="s">
        <v>1230</v>
      </c>
      <c r="K1210" s="24" t="s">
        <v>1224</v>
      </c>
      <c r="L1210" s="24" t="s">
        <v>1225</v>
      </c>
      <c r="M1210" s="24" t="str">
        <f t="shared" si="18"/>
        <v>XWAPM102</v>
      </c>
    </row>
    <row r="1211" spans="1:13" ht="11.4" customHeight="1">
      <c r="A1211" s="24" t="s">
        <v>2338</v>
      </c>
      <c r="B1211" s="24" t="s">
        <v>2328</v>
      </c>
      <c r="C1211" s="24">
        <v>0.5</v>
      </c>
      <c r="D1211" s="24">
        <v>1265</v>
      </c>
      <c r="E1211" s="24">
        <v>2520</v>
      </c>
      <c r="F1211" s="30" t="s">
        <v>1221</v>
      </c>
      <c r="G1211" s="24" t="s">
        <v>1222</v>
      </c>
      <c r="H1211" s="24" t="s">
        <v>1109</v>
      </c>
      <c r="I1211" s="24" t="s">
        <v>1237</v>
      </c>
      <c r="K1211" s="24" t="s">
        <v>1224</v>
      </c>
      <c r="L1211" s="24" t="s">
        <v>1225</v>
      </c>
      <c r="M1211" s="24" t="str">
        <f t="shared" si="18"/>
        <v>XWAPP101</v>
      </c>
    </row>
    <row r="1212" spans="1:13" ht="11.4" customHeight="1">
      <c r="A1212" s="24" t="s">
        <v>2339</v>
      </c>
      <c r="B1212" s="24" t="s">
        <v>2328</v>
      </c>
      <c r="C1212" s="24">
        <v>0.5</v>
      </c>
      <c r="D1212" s="24">
        <v>1265</v>
      </c>
      <c r="E1212" s="24">
        <v>2520</v>
      </c>
      <c r="F1212" s="30" t="s">
        <v>1221</v>
      </c>
      <c r="G1212" s="24" t="s">
        <v>1222</v>
      </c>
      <c r="H1212" s="24" t="s">
        <v>1109</v>
      </c>
      <c r="I1212" s="24" t="s">
        <v>1237</v>
      </c>
      <c r="K1212" s="24" t="s">
        <v>1224</v>
      </c>
      <c r="L1212" s="24" t="s">
        <v>1225</v>
      </c>
      <c r="M1212" s="24" t="str">
        <f t="shared" si="18"/>
        <v>XWAPP101</v>
      </c>
    </row>
    <row r="1213" spans="1:13" ht="11.4" customHeight="1">
      <c r="A1213" s="24" t="s">
        <v>2340</v>
      </c>
      <c r="B1213" s="24" t="s">
        <v>2328</v>
      </c>
      <c r="C1213" s="24">
        <v>0.5</v>
      </c>
      <c r="D1213" s="24">
        <v>1265</v>
      </c>
      <c r="E1213" s="24">
        <v>2520</v>
      </c>
      <c r="F1213" s="30" t="s">
        <v>1221</v>
      </c>
      <c r="G1213" s="24" t="s">
        <v>1222</v>
      </c>
      <c r="H1213" s="24" t="s">
        <v>1244</v>
      </c>
      <c r="I1213" s="24" t="s">
        <v>1223</v>
      </c>
      <c r="K1213" s="24" t="s">
        <v>1224</v>
      </c>
      <c r="L1213" s="24" t="s">
        <v>1225</v>
      </c>
      <c r="M1213" s="24" t="str">
        <f t="shared" si="18"/>
        <v>XWAPB201</v>
      </c>
    </row>
    <row r="1214" spans="1:13" ht="11.4" customHeight="1">
      <c r="A1214" s="24" t="s">
        <v>2341</v>
      </c>
      <c r="B1214" s="24" t="s">
        <v>2328</v>
      </c>
      <c r="C1214" s="24">
        <v>0.5</v>
      </c>
      <c r="D1214" s="24">
        <v>1265</v>
      </c>
      <c r="E1214" s="24">
        <v>2520</v>
      </c>
      <c r="F1214" s="30" t="s">
        <v>1601</v>
      </c>
      <c r="G1214" s="24" t="s">
        <v>1222</v>
      </c>
      <c r="H1214" s="24" t="s">
        <v>1244</v>
      </c>
      <c r="I1214" s="24" t="s">
        <v>1223</v>
      </c>
      <c r="J1214" s="24" t="s">
        <v>1122</v>
      </c>
      <c r="K1214" s="24" t="s">
        <v>1224</v>
      </c>
      <c r="L1214" s="24" t="s">
        <v>1225</v>
      </c>
      <c r="M1214" s="24" t="str">
        <f t="shared" si="18"/>
        <v>XWAPB203</v>
      </c>
    </row>
    <row r="1215" spans="1:13" ht="11.4" customHeight="1">
      <c r="A1215" s="24" t="s">
        <v>330</v>
      </c>
      <c r="B1215" s="24" t="s">
        <v>2328</v>
      </c>
      <c r="C1215" s="24">
        <v>0.5</v>
      </c>
      <c r="D1215" s="24">
        <v>1265</v>
      </c>
      <c r="E1215" s="24">
        <v>2520</v>
      </c>
      <c r="F1215" s="30" t="s">
        <v>1221</v>
      </c>
      <c r="G1215" s="24" t="s">
        <v>1222</v>
      </c>
      <c r="H1215" s="24" t="s">
        <v>1244</v>
      </c>
      <c r="I1215" s="24" t="s">
        <v>1223</v>
      </c>
      <c r="K1215" s="24" t="s">
        <v>1224</v>
      </c>
      <c r="L1215" s="24" t="s">
        <v>1225</v>
      </c>
      <c r="M1215" s="24" t="str">
        <f t="shared" si="18"/>
        <v>XWAPB201</v>
      </c>
    </row>
    <row r="1216" spans="1:13" ht="11.4" customHeight="1">
      <c r="A1216" s="24" t="s">
        <v>2342</v>
      </c>
      <c r="B1216" s="24" t="s">
        <v>2328</v>
      </c>
      <c r="C1216" s="24">
        <v>0.5</v>
      </c>
      <c r="D1216" s="24">
        <v>1265</v>
      </c>
      <c r="E1216" s="24">
        <v>2520</v>
      </c>
      <c r="F1216" s="30" t="s">
        <v>1601</v>
      </c>
      <c r="G1216" s="24" t="s">
        <v>1222</v>
      </c>
      <c r="H1216" s="24" t="s">
        <v>1244</v>
      </c>
      <c r="I1216" s="24" t="s">
        <v>1223</v>
      </c>
      <c r="J1216" s="24" t="s">
        <v>1122</v>
      </c>
      <c r="K1216" s="24" t="s">
        <v>1224</v>
      </c>
      <c r="L1216" s="24" t="s">
        <v>1225</v>
      </c>
      <c r="M1216" s="24" t="str">
        <f t="shared" si="18"/>
        <v>XWAPB203</v>
      </c>
    </row>
    <row r="1217" spans="1:13" ht="11.4" customHeight="1">
      <c r="A1217" s="24" t="s">
        <v>2343</v>
      </c>
      <c r="B1217" s="24" t="s">
        <v>2328</v>
      </c>
      <c r="C1217" s="24">
        <v>0.5</v>
      </c>
      <c r="D1217" s="24">
        <v>1265</v>
      </c>
      <c r="E1217" s="24">
        <v>2520</v>
      </c>
      <c r="F1217" s="30" t="s">
        <v>1221</v>
      </c>
      <c r="G1217" s="24" t="s">
        <v>1222</v>
      </c>
      <c r="H1217" s="24" t="s">
        <v>1244</v>
      </c>
      <c r="I1217" s="24" t="s">
        <v>1230</v>
      </c>
      <c r="K1217" s="24" t="s">
        <v>1224</v>
      </c>
      <c r="L1217" s="24" t="s">
        <v>1225</v>
      </c>
      <c r="M1217" s="24" t="str">
        <f t="shared" si="18"/>
        <v>XWAPM201</v>
      </c>
    </row>
    <row r="1218" spans="1:13" ht="11.4" customHeight="1">
      <c r="A1218" s="24" t="s">
        <v>2344</v>
      </c>
      <c r="B1218" s="24" t="s">
        <v>2328</v>
      </c>
      <c r="C1218" s="24">
        <v>0.5</v>
      </c>
      <c r="D1218" s="24">
        <v>1265</v>
      </c>
      <c r="E1218" s="24">
        <v>2520</v>
      </c>
      <c r="F1218" s="30" t="s">
        <v>1221</v>
      </c>
      <c r="G1218" s="24" t="s">
        <v>1222</v>
      </c>
      <c r="H1218" s="24" t="s">
        <v>1244</v>
      </c>
      <c r="I1218" s="24" t="s">
        <v>1230</v>
      </c>
      <c r="K1218" s="24" t="s">
        <v>1224</v>
      </c>
      <c r="L1218" s="24" t="s">
        <v>1225</v>
      </c>
      <c r="M1218" s="24" t="str">
        <f t="shared" si="18"/>
        <v>XWAPM201</v>
      </c>
    </row>
    <row r="1219" spans="1:13" ht="11.4" customHeight="1">
      <c r="A1219" s="24" t="s">
        <v>2345</v>
      </c>
      <c r="B1219" s="24" t="s">
        <v>2328</v>
      </c>
      <c r="C1219" s="24">
        <v>0.5</v>
      </c>
      <c r="D1219" s="24">
        <v>1265</v>
      </c>
      <c r="E1219" s="24">
        <v>2200</v>
      </c>
      <c r="F1219" s="30" t="s">
        <v>1252</v>
      </c>
      <c r="G1219" s="24" t="s">
        <v>1222</v>
      </c>
      <c r="H1219" s="24" t="s">
        <v>49</v>
      </c>
      <c r="I1219" s="24" t="s">
        <v>1223</v>
      </c>
      <c r="K1219" s="24" t="s">
        <v>1224</v>
      </c>
      <c r="L1219" s="24" t="s">
        <v>1225</v>
      </c>
      <c r="M1219" s="24" t="str">
        <f t="shared" si="18"/>
        <v>XWAPBA12</v>
      </c>
    </row>
    <row r="1220" spans="1:13" ht="11.4" customHeight="1">
      <c r="A1220" s="24" t="s">
        <v>2346</v>
      </c>
      <c r="B1220" s="24" t="s">
        <v>2328</v>
      </c>
      <c r="C1220" s="24">
        <v>0.5</v>
      </c>
      <c r="D1220" s="24">
        <v>1265</v>
      </c>
      <c r="E1220" s="24">
        <v>2200</v>
      </c>
      <c r="F1220" s="30" t="s">
        <v>1252</v>
      </c>
      <c r="G1220" s="24" t="s">
        <v>1222</v>
      </c>
      <c r="H1220" s="24" t="s">
        <v>49</v>
      </c>
      <c r="I1220" s="24" t="s">
        <v>1223</v>
      </c>
      <c r="K1220" s="24" t="s">
        <v>1224</v>
      </c>
      <c r="L1220" s="24" t="s">
        <v>1225</v>
      </c>
      <c r="M1220" s="24" t="str">
        <f t="shared" ref="M1220:M1283" si="19">RIGHT(A1220,8)</f>
        <v>XWAPBA12</v>
      </c>
    </row>
    <row r="1221" spans="1:13" ht="11.4" customHeight="1">
      <c r="A1221" s="24" t="s">
        <v>2347</v>
      </c>
      <c r="B1221" s="24" t="s">
        <v>2328</v>
      </c>
      <c r="C1221" s="24">
        <v>0.5</v>
      </c>
      <c r="D1221" s="24">
        <v>1265</v>
      </c>
      <c r="E1221" s="24">
        <v>2520</v>
      </c>
      <c r="F1221" s="30" t="s">
        <v>1252</v>
      </c>
      <c r="G1221" s="24" t="s">
        <v>1222</v>
      </c>
      <c r="H1221" s="24" t="s">
        <v>49</v>
      </c>
      <c r="I1221" s="24" t="s">
        <v>1223</v>
      </c>
      <c r="K1221" s="24" t="s">
        <v>1224</v>
      </c>
      <c r="L1221" s="24" t="s">
        <v>1225</v>
      </c>
      <c r="M1221" s="24" t="str">
        <f t="shared" si="19"/>
        <v>XWAPBA01</v>
      </c>
    </row>
    <row r="1222" spans="1:13" ht="11.4" customHeight="1">
      <c r="A1222" s="24" t="s">
        <v>2348</v>
      </c>
      <c r="B1222" s="24" t="s">
        <v>2328</v>
      </c>
      <c r="C1222" s="24">
        <v>0.5</v>
      </c>
      <c r="D1222" s="24">
        <v>1265</v>
      </c>
      <c r="E1222" s="24">
        <v>2520</v>
      </c>
      <c r="F1222" s="30" t="s">
        <v>1620</v>
      </c>
      <c r="G1222" s="24" t="s">
        <v>1222</v>
      </c>
      <c r="H1222" s="24" t="s">
        <v>49</v>
      </c>
      <c r="I1222" s="24" t="s">
        <v>1223</v>
      </c>
      <c r="J1222" s="24" t="s">
        <v>1122</v>
      </c>
      <c r="K1222" s="24" t="s">
        <v>1224</v>
      </c>
      <c r="L1222" s="24" t="s">
        <v>1225</v>
      </c>
      <c r="M1222" s="24" t="str">
        <f t="shared" si="19"/>
        <v>XWAPBA16</v>
      </c>
    </row>
    <row r="1223" spans="1:13" ht="11.4" customHeight="1">
      <c r="A1223" s="24" t="s">
        <v>304</v>
      </c>
      <c r="B1223" s="24" t="s">
        <v>2328</v>
      </c>
      <c r="C1223" s="24">
        <v>0.5</v>
      </c>
      <c r="D1223" s="24">
        <v>1265</v>
      </c>
      <c r="E1223" s="24">
        <v>2520</v>
      </c>
      <c r="F1223" s="30" t="s">
        <v>1252</v>
      </c>
      <c r="G1223" s="24" t="s">
        <v>1222</v>
      </c>
      <c r="H1223" s="24" t="s">
        <v>49</v>
      </c>
      <c r="I1223" s="24" t="s">
        <v>1223</v>
      </c>
      <c r="K1223" s="24" t="s">
        <v>1224</v>
      </c>
      <c r="L1223" s="24" t="s">
        <v>1225</v>
      </c>
      <c r="M1223" s="24" t="str">
        <f t="shared" si="19"/>
        <v>XWAPBA01</v>
      </c>
    </row>
    <row r="1224" spans="1:13" ht="11.4" customHeight="1">
      <c r="A1224" s="24" t="s">
        <v>2349</v>
      </c>
      <c r="B1224" s="24" t="s">
        <v>2328</v>
      </c>
      <c r="C1224" s="24">
        <v>0.5</v>
      </c>
      <c r="D1224" s="24">
        <v>1265</v>
      </c>
      <c r="E1224" s="24">
        <v>2520</v>
      </c>
      <c r="F1224" s="30" t="s">
        <v>1620</v>
      </c>
      <c r="G1224" s="24" t="s">
        <v>1222</v>
      </c>
      <c r="H1224" s="24" t="s">
        <v>49</v>
      </c>
      <c r="I1224" s="24" t="s">
        <v>1223</v>
      </c>
      <c r="J1224" s="24" t="s">
        <v>1122</v>
      </c>
      <c r="K1224" s="24" t="s">
        <v>1224</v>
      </c>
      <c r="L1224" s="24" t="s">
        <v>1225</v>
      </c>
      <c r="M1224" s="24" t="str">
        <f t="shared" si="19"/>
        <v>XWAPBA16</v>
      </c>
    </row>
    <row r="1225" spans="1:13" ht="11.4" customHeight="1">
      <c r="A1225" s="24" t="s">
        <v>2350</v>
      </c>
      <c r="B1225" s="24" t="s">
        <v>2328</v>
      </c>
      <c r="C1225" s="24">
        <v>0.5</v>
      </c>
      <c r="D1225" s="24">
        <v>1265</v>
      </c>
      <c r="E1225" s="24">
        <v>3100</v>
      </c>
      <c r="F1225" s="30" t="s">
        <v>1252</v>
      </c>
      <c r="G1225" s="24" t="s">
        <v>1222</v>
      </c>
      <c r="H1225" s="24" t="s">
        <v>49</v>
      </c>
      <c r="I1225" s="24" t="s">
        <v>1223</v>
      </c>
      <c r="K1225" s="24" t="s">
        <v>1224</v>
      </c>
      <c r="L1225" s="24" t="s">
        <v>1225</v>
      </c>
      <c r="M1225" s="24" t="str">
        <f t="shared" si="19"/>
        <v>XWAPBA08</v>
      </c>
    </row>
    <row r="1226" spans="1:13" ht="11.4" customHeight="1">
      <c r="A1226" s="24" t="s">
        <v>2351</v>
      </c>
      <c r="B1226" s="24" t="s">
        <v>2328</v>
      </c>
      <c r="C1226" s="24">
        <v>0.5</v>
      </c>
      <c r="D1226" s="24">
        <v>1265</v>
      </c>
      <c r="E1226" s="24">
        <v>3100</v>
      </c>
      <c r="F1226" s="30" t="s">
        <v>1252</v>
      </c>
      <c r="G1226" s="24" t="s">
        <v>1222</v>
      </c>
      <c r="H1226" s="24" t="s">
        <v>49</v>
      </c>
      <c r="I1226" s="24" t="s">
        <v>1223</v>
      </c>
      <c r="K1226" s="24" t="s">
        <v>1224</v>
      </c>
      <c r="L1226" s="24" t="s">
        <v>1225</v>
      </c>
      <c r="M1226" s="24" t="str">
        <f t="shared" si="19"/>
        <v>XWAPBA08</v>
      </c>
    </row>
    <row r="1227" spans="1:13" ht="11.4" customHeight="1">
      <c r="A1227" s="24" t="s">
        <v>2352</v>
      </c>
      <c r="B1227" s="24" t="s">
        <v>2328</v>
      </c>
      <c r="C1227" s="24">
        <v>0.5</v>
      </c>
      <c r="D1227" s="24">
        <v>1265</v>
      </c>
      <c r="E1227" s="24">
        <v>3300</v>
      </c>
      <c r="F1227" s="30" t="s">
        <v>1252</v>
      </c>
      <c r="G1227" s="24" t="s">
        <v>1222</v>
      </c>
      <c r="H1227" s="24" t="s">
        <v>49</v>
      </c>
      <c r="I1227" s="24" t="s">
        <v>1223</v>
      </c>
      <c r="K1227" s="24" t="s">
        <v>1224</v>
      </c>
      <c r="L1227" s="24" t="s">
        <v>1225</v>
      </c>
      <c r="M1227" s="24" t="str">
        <f t="shared" si="19"/>
        <v>XWAPBA15</v>
      </c>
    </row>
    <row r="1228" spans="1:13" ht="11.4" customHeight="1">
      <c r="A1228" s="24" t="s">
        <v>2353</v>
      </c>
      <c r="B1228" s="24" t="s">
        <v>2328</v>
      </c>
      <c r="C1228" s="24">
        <v>0.5</v>
      </c>
      <c r="D1228" s="24">
        <v>1265</v>
      </c>
      <c r="E1228" s="24">
        <v>3300</v>
      </c>
      <c r="F1228" s="30" t="s">
        <v>1252</v>
      </c>
      <c r="G1228" s="24" t="s">
        <v>1222</v>
      </c>
      <c r="H1228" s="24" t="s">
        <v>49</v>
      </c>
      <c r="I1228" s="24" t="s">
        <v>1223</v>
      </c>
      <c r="K1228" s="24" t="s">
        <v>1224</v>
      </c>
      <c r="L1228" s="24" t="s">
        <v>1225</v>
      </c>
      <c r="M1228" s="24" t="str">
        <f t="shared" si="19"/>
        <v>XWAPBA15</v>
      </c>
    </row>
    <row r="1229" spans="1:13" ht="11.4" customHeight="1">
      <c r="A1229" s="24" t="s">
        <v>2354</v>
      </c>
      <c r="B1229" s="24" t="s">
        <v>2328</v>
      </c>
      <c r="C1229" s="24">
        <v>0.5</v>
      </c>
      <c r="D1229" s="24">
        <v>965</v>
      </c>
      <c r="E1229" s="24">
        <v>2800</v>
      </c>
      <c r="F1229" s="30" t="s">
        <v>1252</v>
      </c>
      <c r="G1229" s="24" t="s">
        <v>1222</v>
      </c>
      <c r="H1229" s="24" t="s">
        <v>49</v>
      </c>
      <c r="I1229" s="24" t="s">
        <v>1223</v>
      </c>
      <c r="K1229" s="24" t="s">
        <v>1224</v>
      </c>
      <c r="L1229" s="24" t="s">
        <v>1339</v>
      </c>
      <c r="M1229" s="24" t="str">
        <f t="shared" si="19"/>
        <v>XWAPBA07</v>
      </c>
    </row>
    <row r="1230" spans="1:13" ht="11.4" customHeight="1">
      <c r="A1230" s="24" t="s">
        <v>2355</v>
      </c>
      <c r="B1230" s="24" t="s">
        <v>2328</v>
      </c>
      <c r="C1230" s="24">
        <v>0.5</v>
      </c>
      <c r="D1230" s="24">
        <v>965</v>
      </c>
      <c r="E1230" s="24">
        <v>2800</v>
      </c>
      <c r="F1230" s="30" t="s">
        <v>1252</v>
      </c>
      <c r="G1230" s="24" t="s">
        <v>1222</v>
      </c>
      <c r="H1230" s="24" t="s">
        <v>49</v>
      </c>
      <c r="I1230" s="24" t="s">
        <v>1223</v>
      </c>
      <c r="K1230" s="24" t="s">
        <v>1224</v>
      </c>
      <c r="L1230" s="24" t="s">
        <v>1339</v>
      </c>
      <c r="M1230" s="24" t="str">
        <f t="shared" si="19"/>
        <v>XWAPBA07</v>
      </c>
    </row>
    <row r="1231" spans="1:13" ht="11.4" customHeight="1">
      <c r="A1231" s="24" t="s">
        <v>2356</v>
      </c>
      <c r="B1231" s="24" t="s">
        <v>2328</v>
      </c>
      <c r="C1231" s="24">
        <v>0.5</v>
      </c>
      <c r="D1231" s="24">
        <v>1265</v>
      </c>
      <c r="E1231" s="24">
        <v>2520</v>
      </c>
      <c r="F1231" s="30" t="s">
        <v>1252</v>
      </c>
      <c r="G1231" s="24" t="s">
        <v>1222</v>
      </c>
      <c r="H1231" s="24" t="s">
        <v>49</v>
      </c>
      <c r="I1231" s="24" t="s">
        <v>1237</v>
      </c>
      <c r="K1231" s="24" t="s">
        <v>1224</v>
      </c>
      <c r="L1231" s="24" t="s">
        <v>1225</v>
      </c>
      <c r="M1231" s="24" t="str">
        <f t="shared" si="19"/>
        <v>XWAPPA01</v>
      </c>
    </row>
    <row r="1232" spans="1:13" ht="11.4" customHeight="1">
      <c r="A1232" s="24" t="s">
        <v>2357</v>
      </c>
      <c r="B1232" s="24" t="s">
        <v>2328</v>
      </c>
      <c r="C1232" s="24">
        <v>0.5</v>
      </c>
      <c r="D1232" s="24">
        <v>1265</v>
      </c>
      <c r="E1232" s="24">
        <v>2520</v>
      </c>
      <c r="F1232" s="30" t="s">
        <v>1620</v>
      </c>
      <c r="G1232" s="24" t="s">
        <v>1222</v>
      </c>
      <c r="H1232" s="24" t="s">
        <v>49</v>
      </c>
      <c r="I1232" s="24" t="s">
        <v>1237</v>
      </c>
      <c r="J1232" s="24" t="s">
        <v>1122</v>
      </c>
      <c r="K1232" s="24" t="s">
        <v>1224</v>
      </c>
      <c r="L1232" s="24" t="s">
        <v>1225</v>
      </c>
      <c r="M1232" s="24" t="str">
        <f t="shared" si="19"/>
        <v>XWAPPA02</v>
      </c>
    </row>
    <row r="1233" spans="1:13" ht="11.4" customHeight="1">
      <c r="A1233" s="24" t="s">
        <v>2358</v>
      </c>
      <c r="B1233" s="24" t="s">
        <v>2328</v>
      </c>
      <c r="C1233" s="24">
        <v>0.5</v>
      </c>
      <c r="D1233" s="24">
        <v>1265</v>
      </c>
      <c r="E1233" s="24">
        <v>2520</v>
      </c>
      <c r="F1233" s="30" t="s">
        <v>1252</v>
      </c>
      <c r="G1233" s="24" t="s">
        <v>1222</v>
      </c>
      <c r="H1233" s="24" t="s">
        <v>49</v>
      </c>
      <c r="I1233" s="24" t="s">
        <v>1237</v>
      </c>
      <c r="K1233" s="24" t="s">
        <v>1224</v>
      </c>
      <c r="L1233" s="24" t="s">
        <v>1225</v>
      </c>
      <c r="M1233" s="24" t="str">
        <f t="shared" si="19"/>
        <v>XWAPPA01</v>
      </c>
    </row>
    <row r="1234" spans="1:13" ht="11.4" customHeight="1">
      <c r="A1234" s="24" t="s">
        <v>2359</v>
      </c>
      <c r="B1234" s="24" t="s">
        <v>2328</v>
      </c>
      <c r="C1234" s="24">
        <v>0.5</v>
      </c>
      <c r="D1234" s="24">
        <v>1265</v>
      </c>
      <c r="E1234" s="24">
        <v>2520</v>
      </c>
      <c r="F1234" s="30" t="s">
        <v>1620</v>
      </c>
      <c r="G1234" s="24" t="s">
        <v>1222</v>
      </c>
      <c r="H1234" s="24" t="s">
        <v>49</v>
      </c>
      <c r="I1234" s="24" t="s">
        <v>1237</v>
      </c>
      <c r="J1234" s="24" t="s">
        <v>1122</v>
      </c>
      <c r="K1234" s="24" t="s">
        <v>1224</v>
      </c>
      <c r="L1234" s="24" t="s">
        <v>1225</v>
      </c>
      <c r="M1234" s="24" t="str">
        <f t="shared" si="19"/>
        <v>XWAPPA02</v>
      </c>
    </row>
    <row r="1235" spans="1:13" ht="11.4" customHeight="1">
      <c r="A1235" s="24" t="s">
        <v>2360</v>
      </c>
      <c r="B1235" s="24" t="s">
        <v>2328</v>
      </c>
      <c r="C1235" s="24">
        <v>0.5</v>
      </c>
      <c r="D1235" s="24">
        <v>50</v>
      </c>
      <c r="E1235" s="24">
        <v>99</v>
      </c>
      <c r="F1235" s="24">
        <v>0</v>
      </c>
      <c r="G1235" s="24" t="s">
        <v>1222</v>
      </c>
      <c r="H1235" s="24" t="s">
        <v>2175</v>
      </c>
      <c r="I1235" s="24" t="s">
        <v>1237</v>
      </c>
      <c r="J1235" s="24" t="s">
        <v>1122</v>
      </c>
      <c r="K1235" s="24" t="s">
        <v>1224</v>
      </c>
      <c r="L1235" s="24" t="s">
        <v>1615</v>
      </c>
      <c r="M1235" s="24" t="str">
        <f t="shared" si="19"/>
        <v>KWAPPA01</v>
      </c>
    </row>
    <row r="1236" spans="1:13" ht="11.4" customHeight="1">
      <c r="A1236" s="24" t="s">
        <v>2361</v>
      </c>
      <c r="B1236" s="24" t="s">
        <v>2328</v>
      </c>
      <c r="C1236" s="24">
        <v>0.5</v>
      </c>
      <c r="D1236" s="24">
        <v>1265</v>
      </c>
      <c r="E1236" s="24">
        <v>2520</v>
      </c>
      <c r="F1236" s="30" t="s">
        <v>1252</v>
      </c>
      <c r="G1236" s="24" t="s">
        <v>1222</v>
      </c>
      <c r="H1236" s="24" t="s">
        <v>2362</v>
      </c>
      <c r="I1236" s="24" t="s">
        <v>1223</v>
      </c>
      <c r="K1236" s="24" t="s">
        <v>1224</v>
      </c>
      <c r="L1236" s="24" t="s">
        <v>1225</v>
      </c>
      <c r="M1236" s="24" t="str">
        <f t="shared" si="19"/>
        <v>XWAPBA09</v>
      </c>
    </row>
    <row r="1237" spans="1:13" ht="11.4" customHeight="1">
      <c r="A1237" s="24" t="s">
        <v>2363</v>
      </c>
      <c r="B1237" s="24" t="s">
        <v>2328</v>
      </c>
      <c r="C1237" s="24">
        <v>0.5</v>
      </c>
      <c r="D1237" s="24">
        <v>1265</v>
      </c>
      <c r="E1237" s="24">
        <v>2520</v>
      </c>
      <c r="F1237" s="30" t="s">
        <v>1252</v>
      </c>
      <c r="G1237" s="24" t="s">
        <v>1222</v>
      </c>
      <c r="H1237" s="24" t="s">
        <v>2362</v>
      </c>
      <c r="I1237" s="24" t="s">
        <v>1223</v>
      </c>
      <c r="K1237" s="24" t="s">
        <v>1224</v>
      </c>
      <c r="L1237" s="24" t="s">
        <v>1225</v>
      </c>
      <c r="M1237" s="24" t="str">
        <f t="shared" si="19"/>
        <v>XWAPBA09</v>
      </c>
    </row>
    <row r="1238" spans="1:13" ht="11.4" customHeight="1">
      <c r="A1238" s="24" t="s">
        <v>2364</v>
      </c>
      <c r="B1238" s="24" t="s">
        <v>2328</v>
      </c>
      <c r="C1238" s="24">
        <v>0.5</v>
      </c>
      <c r="D1238" s="24">
        <v>1265</v>
      </c>
      <c r="E1238" s="24">
        <v>2520</v>
      </c>
      <c r="F1238" s="30" t="s">
        <v>1252</v>
      </c>
      <c r="G1238" s="24" t="s">
        <v>1222</v>
      </c>
      <c r="H1238" s="24" t="s">
        <v>1366</v>
      </c>
      <c r="I1238" s="24" t="s">
        <v>1223</v>
      </c>
      <c r="K1238" s="24" t="s">
        <v>1224</v>
      </c>
      <c r="L1238" s="24" t="s">
        <v>1225</v>
      </c>
      <c r="M1238" s="24" t="str">
        <f t="shared" si="19"/>
        <v>XWAPBA02</v>
      </c>
    </row>
    <row r="1239" spans="1:13" ht="11.4" customHeight="1">
      <c r="A1239" s="24" t="s">
        <v>341</v>
      </c>
      <c r="B1239" s="24" t="s">
        <v>2328</v>
      </c>
      <c r="C1239" s="24">
        <v>0.5</v>
      </c>
      <c r="D1239" s="24">
        <v>1265</v>
      </c>
      <c r="E1239" s="24">
        <v>2520</v>
      </c>
      <c r="F1239" s="30" t="s">
        <v>1252</v>
      </c>
      <c r="G1239" s="24" t="s">
        <v>1222</v>
      </c>
      <c r="H1239" s="24" t="s">
        <v>1366</v>
      </c>
      <c r="I1239" s="24" t="s">
        <v>1223</v>
      </c>
      <c r="K1239" s="24" t="s">
        <v>1224</v>
      </c>
      <c r="L1239" s="24" t="s">
        <v>1225</v>
      </c>
      <c r="M1239" s="24" t="str">
        <f t="shared" si="19"/>
        <v>XWAPBA02</v>
      </c>
    </row>
    <row r="1240" spans="1:13" ht="11.4" customHeight="1">
      <c r="A1240" s="24" t="s">
        <v>2365</v>
      </c>
      <c r="B1240" s="24" t="s">
        <v>2328</v>
      </c>
      <c r="C1240" s="24">
        <v>0.5</v>
      </c>
      <c r="D1240" s="24">
        <v>1265</v>
      </c>
      <c r="E1240" s="24">
        <v>2520</v>
      </c>
      <c r="F1240" s="30" t="s">
        <v>1252</v>
      </c>
      <c r="G1240" s="24" t="s">
        <v>1222</v>
      </c>
      <c r="H1240" s="24" t="s">
        <v>1633</v>
      </c>
      <c r="I1240" s="24" t="s">
        <v>1223</v>
      </c>
      <c r="K1240" s="24" t="s">
        <v>1224</v>
      </c>
      <c r="L1240" s="24" t="s">
        <v>1225</v>
      </c>
      <c r="M1240" s="24" t="str">
        <f t="shared" si="19"/>
        <v>XWAPBA06</v>
      </c>
    </row>
    <row r="1241" spans="1:13" ht="11.4" customHeight="1">
      <c r="A1241" s="24" t="s">
        <v>2366</v>
      </c>
      <c r="B1241" s="24" t="s">
        <v>2328</v>
      </c>
      <c r="C1241" s="24">
        <v>0.5</v>
      </c>
      <c r="D1241" s="24">
        <v>1265</v>
      </c>
      <c r="E1241" s="24">
        <v>2520</v>
      </c>
      <c r="F1241" s="30" t="s">
        <v>1252</v>
      </c>
      <c r="G1241" s="24" t="s">
        <v>1222</v>
      </c>
      <c r="H1241" s="24" t="s">
        <v>1633</v>
      </c>
      <c r="I1241" s="24" t="s">
        <v>1223</v>
      </c>
      <c r="K1241" s="24" t="s">
        <v>1224</v>
      </c>
      <c r="L1241" s="24" t="s">
        <v>1225</v>
      </c>
      <c r="M1241" s="24" t="str">
        <f t="shared" si="19"/>
        <v>XWAPBA06</v>
      </c>
    </row>
    <row r="1242" spans="1:13" ht="11.4" customHeight="1">
      <c r="A1242" s="24" t="s">
        <v>2367</v>
      </c>
      <c r="B1242" s="24" t="s">
        <v>2328</v>
      </c>
      <c r="C1242" s="24">
        <v>0.5</v>
      </c>
      <c r="D1242" s="24">
        <v>1265</v>
      </c>
      <c r="E1242" s="24">
        <v>2520</v>
      </c>
      <c r="F1242" s="30" t="s">
        <v>1252</v>
      </c>
      <c r="G1242" s="24" t="s">
        <v>1222</v>
      </c>
      <c r="H1242" s="24" t="s">
        <v>1137</v>
      </c>
      <c r="I1242" s="24" t="s">
        <v>1223</v>
      </c>
      <c r="K1242" s="24" t="s">
        <v>1224</v>
      </c>
      <c r="L1242" s="24" t="s">
        <v>1225</v>
      </c>
      <c r="M1242" s="24" t="str">
        <f t="shared" si="19"/>
        <v>XWAPBB01</v>
      </c>
    </row>
    <row r="1243" spans="1:13" ht="11.4" customHeight="1">
      <c r="A1243" s="24" t="s">
        <v>329</v>
      </c>
      <c r="B1243" s="24" t="s">
        <v>2328</v>
      </c>
      <c r="C1243" s="24">
        <v>0.5</v>
      </c>
      <c r="D1243" s="24">
        <v>1265</v>
      </c>
      <c r="E1243" s="24">
        <v>2520</v>
      </c>
      <c r="F1243" s="30" t="s">
        <v>1252</v>
      </c>
      <c r="G1243" s="24" t="s">
        <v>1222</v>
      </c>
      <c r="H1243" s="24" t="s">
        <v>1137</v>
      </c>
      <c r="I1243" s="24" t="s">
        <v>1223</v>
      </c>
      <c r="K1243" s="24" t="s">
        <v>1224</v>
      </c>
      <c r="L1243" s="24" t="s">
        <v>1225</v>
      </c>
      <c r="M1243" s="24" t="str">
        <f t="shared" si="19"/>
        <v>XWAPBB01</v>
      </c>
    </row>
    <row r="1244" spans="1:13" ht="11.4" customHeight="1">
      <c r="A1244" s="24" t="s">
        <v>2368</v>
      </c>
      <c r="B1244" s="24" t="s">
        <v>2328</v>
      </c>
      <c r="C1244" s="24">
        <v>0.5</v>
      </c>
      <c r="D1244" s="24">
        <v>1265</v>
      </c>
      <c r="E1244" s="24">
        <v>3100</v>
      </c>
      <c r="F1244" s="30">
        <v>0</v>
      </c>
      <c r="G1244" s="24" t="s">
        <v>1222</v>
      </c>
      <c r="H1244" s="24" t="s">
        <v>1137</v>
      </c>
      <c r="I1244" s="24" t="s">
        <v>1223</v>
      </c>
      <c r="K1244" s="24" t="s">
        <v>1224</v>
      </c>
      <c r="L1244" s="24" t="s">
        <v>1225</v>
      </c>
      <c r="M1244" s="24" t="str">
        <f t="shared" si="19"/>
        <v>XWAPBB04</v>
      </c>
    </row>
    <row r="1245" spans="1:13" ht="11.4" customHeight="1">
      <c r="A1245" s="24" t="s">
        <v>2369</v>
      </c>
      <c r="B1245" s="24" t="s">
        <v>2328</v>
      </c>
      <c r="C1245" s="24">
        <v>0.5</v>
      </c>
      <c r="D1245" s="24">
        <v>1265</v>
      </c>
      <c r="E1245" s="24">
        <v>3100</v>
      </c>
      <c r="G1245" s="24" t="s">
        <v>1222</v>
      </c>
      <c r="H1245" s="24" t="s">
        <v>1137</v>
      </c>
      <c r="I1245" s="24" t="s">
        <v>1223</v>
      </c>
      <c r="K1245" s="24" t="s">
        <v>1224</v>
      </c>
      <c r="L1245" s="24" t="s">
        <v>1225</v>
      </c>
      <c r="M1245" s="24" t="str">
        <f t="shared" si="19"/>
        <v>XWAPBB04</v>
      </c>
    </row>
    <row r="1246" spans="1:13" ht="11.4" customHeight="1">
      <c r="A1246" s="24" t="s">
        <v>2370</v>
      </c>
      <c r="B1246" s="24" t="s">
        <v>2328</v>
      </c>
      <c r="C1246" s="24">
        <v>0.5</v>
      </c>
      <c r="D1246" s="24">
        <v>1265</v>
      </c>
      <c r="E1246" s="24">
        <v>2520</v>
      </c>
      <c r="F1246" s="30" t="s">
        <v>1252</v>
      </c>
      <c r="G1246" s="24" t="s">
        <v>1222</v>
      </c>
      <c r="H1246" s="24" t="s">
        <v>1137</v>
      </c>
      <c r="I1246" s="24" t="s">
        <v>1237</v>
      </c>
      <c r="K1246" s="24" t="s">
        <v>1224</v>
      </c>
      <c r="L1246" s="24" t="s">
        <v>1225</v>
      </c>
      <c r="M1246" s="24" t="str">
        <f t="shared" si="19"/>
        <v>XWAPPB01</v>
      </c>
    </row>
    <row r="1247" spans="1:13" ht="11.4" customHeight="1">
      <c r="A1247" s="24" t="s">
        <v>2371</v>
      </c>
      <c r="B1247" s="24" t="s">
        <v>2328</v>
      </c>
      <c r="C1247" s="24">
        <v>0.5</v>
      </c>
      <c r="D1247" s="24">
        <v>1265</v>
      </c>
      <c r="E1247" s="24">
        <v>2520</v>
      </c>
      <c r="F1247" s="30" t="s">
        <v>1252</v>
      </c>
      <c r="G1247" s="24" t="s">
        <v>1222</v>
      </c>
      <c r="H1247" s="24" t="s">
        <v>1137</v>
      </c>
      <c r="I1247" s="24" t="s">
        <v>1237</v>
      </c>
      <c r="K1247" s="24" t="s">
        <v>1224</v>
      </c>
      <c r="L1247" s="24" t="s">
        <v>1225</v>
      </c>
      <c r="M1247" s="24" t="str">
        <f t="shared" si="19"/>
        <v>XWAPPB01</v>
      </c>
    </row>
    <row r="1248" spans="1:13" ht="11.4" customHeight="1">
      <c r="A1248" s="24" t="s">
        <v>2372</v>
      </c>
      <c r="B1248" s="24" t="s">
        <v>2328</v>
      </c>
      <c r="C1248" s="24">
        <v>0.5</v>
      </c>
      <c r="D1248" s="24">
        <v>1265</v>
      </c>
      <c r="E1248" s="24">
        <v>2520</v>
      </c>
      <c r="F1248" s="30" t="s">
        <v>1252</v>
      </c>
      <c r="G1248" s="24" t="s">
        <v>1222</v>
      </c>
      <c r="H1248" s="24" t="s">
        <v>2373</v>
      </c>
      <c r="I1248" s="24" t="s">
        <v>1223</v>
      </c>
      <c r="K1248" s="24" t="s">
        <v>1224</v>
      </c>
      <c r="L1248" s="24" t="s">
        <v>1225</v>
      </c>
      <c r="M1248" s="24" t="str">
        <f t="shared" si="19"/>
        <v>XWAPBB03</v>
      </c>
    </row>
    <row r="1249" spans="1:13" ht="11.4" customHeight="1">
      <c r="A1249" s="24" t="s">
        <v>324</v>
      </c>
      <c r="B1249" s="24" t="s">
        <v>2328</v>
      </c>
      <c r="C1249" s="24">
        <v>0.5</v>
      </c>
      <c r="D1249" s="24">
        <v>1265</v>
      </c>
      <c r="E1249" s="24">
        <v>2520</v>
      </c>
      <c r="F1249" s="30" t="s">
        <v>1252</v>
      </c>
      <c r="G1249" s="24" t="s">
        <v>1222</v>
      </c>
      <c r="H1249" s="24" t="s">
        <v>2373</v>
      </c>
      <c r="I1249" s="24" t="s">
        <v>1223</v>
      </c>
      <c r="K1249" s="24" t="s">
        <v>1224</v>
      </c>
      <c r="L1249" s="24" t="s">
        <v>1225</v>
      </c>
      <c r="M1249" s="24" t="str">
        <f t="shared" si="19"/>
        <v>XWAPBB03</v>
      </c>
    </row>
    <row r="1250" spans="1:13" ht="11.4" customHeight="1">
      <c r="A1250" s="24" t="s">
        <v>342</v>
      </c>
      <c r="B1250" s="24" t="s">
        <v>2328</v>
      </c>
      <c r="C1250" s="24">
        <v>0.5</v>
      </c>
      <c r="D1250" s="24">
        <v>1265</v>
      </c>
      <c r="E1250" s="24">
        <v>2520</v>
      </c>
      <c r="F1250" s="24" t="s">
        <v>1252</v>
      </c>
      <c r="G1250" s="24" t="s">
        <v>1223</v>
      </c>
      <c r="H1250" s="24" t="s">
        <v>1278</v>
      </c>
      <c r="I1250" s="24" t="s">
        <v>1223</v>
      </c>
      <c r="K1250" s="24" t="s">
        <v>1224</v>
      </c>
      <c r="L1250" s="24" t="s">
        <v>1225</v>
      </c>
      <c r="M1250" s="24" t="str">
        <f t="shared" si="19"/>
        <v>XWAPBC01</v>
      </c>
    </row>
    <row r="1251" spans="1:13" ht="11.4" customHeight="1">
      <c r="A1251" s="24" t="s">
        <v>2374</v>
      </c>
      <c r="B1251" s="24" t="s">
        <v>2328</v>
      </c>
      <c r="C1251" s="24">
        <v>0.5</v>
      </c>
      <c r="D1251" s="24">
        <v>1265</v>
      </c>
      <c r="E1251" s="24">
        <v>2520</v>
      </c>
      <c r="F1251" s="24" t="s">
        <v>1252</v>
      </c>
      <c r="G1251" s="24" t="s">
        <v>1222</v>
      </c>
      <c r="H1251" s="24" t="s">
        <v>1278</v>
      </c>
      <c r="I1251" s="24" t="s">
        <v>1223</v>
      </c>
      <c r="K1251" s="24" t="s">
        <v>1224</v>
      </c>
      <c r="L1251" s="24" t="s">
        <v>1225</v>
      </c>
      <c r="M1251" s="24" t="str">
        <f t="shared" si="19"/>
        <v>XWAPBC01</v>
      </c>
    </row>
    <row r="1252" spans="1:13" ht="11.4" customHeight="1">
      <c r="A1252" s="24" t="s">
        <v>2375</v>
      </c>
      <c r="B1252" s="24" t="s">
        <v>2328</v>
      </c>
      <c r="C1252" s="24">
        <v>0.5</v>
      </c>
      <c r="D1252" s="24">
        <v>1265</v>
      </c>
      <c r="E1252" s="24">
        <v>3300</v>
      </c>
      <c r="F1252" s="30" t="s">
        <v>1221</v>
      </c>
      <c r="G1252" s="24" t="s">
        <v>1222</v>
      </c>
      <c r="H1252" s="24" t="s">
        <v>1278</v>
      </c>
      <c r="I1252" s="24" t="s">
        <v>1223</v>
      </c>
      <c r="K1252" s="24" t="s">
        <v>1224</v>
      </c>
      <c r="L1252" s="24" t="s">
        <v>1225</v>
      </c>
      <c r="M1252" s="24" t="str">
        <f t="shared" si="19"/>
        <v>XWAPBC02</v>
      </c>
    </row>
    <row r="1253" spans="1:13" ht="11.4" customHeight="1">
      <c r="A1253" s="24" t="s">
        <v>2376</v>
      </c>
      <c r="B1253" s="24" t="s">
        <v>2328</v>
      </c>
      <c r="C1253" s="24">
        <v>0.5</v>
      </c>
      <c r="D1253" s="24">
        <v>1265</v>
      </c>
      <c r="E1253" s="24">
        <v>3300</v>
      </c>
      <c r="F1253" s="30" t="s">
        <v>1221</v>
      </c>
      <c r="G1253" s="24" t="s">
        <v>1222</v>
      </c>
      <c r="H1253" s="24" t="s">
        <v>1278</v>
      </c>
      <c r="I1253" s="24" t="s">
        <v>1223</v>
      </c>
      <c r="K1253" s="24" t="s">
        <v>1224</v>
      </c>
      <c r="L1253" s="24" t="s">
        <v>1225</v>
      </c>
      <c r="M1253" s="24" t="str">
        <f t="shared" si="19"/>
        <v>XWAPBC02</v>
      </c>
    </row>
    <row r="1254" spans="1:13" ht="11.4" customHeight="1">
      <c r="A1254" s="24" t="s">
        <v>2377</v>
      </c>
      <c r="B1254" s="24" t="s">
        <v>2328</v>
      </c>
      <c r="C1254" s="24">
        <v>0.5</v>
      </c>
      <c r="D1254" s="24">
        <v>1265</v>
      </c>
      <c r="E1254" s="24">
        <v>2520</v>
      </c>
      <c r="F1254" s="30" t="s">
        <v>1620</v>
      </c>
      <c r="G1254" s="24" t="s">
        <v>1222</v>
      </c>
      <c r="H1254" s="24" t="s">
        <v>2378</v>
      </c>
      <c r="I1254" s="24" t="s">
        <v>1237</v>
      </c>
      <c r="J1254" s="24" t="s">
        <v>1122</v>
      </c>
      <c r="K1254" s="24" t="s">
        <v>1224</v>
      </c>
      <c r="L1254" s="24" t="s">
        <v>1225</v>
      </c>
      <c r="M1254" s="24" t="str">
        <f t="shared" si="19"/>
        <v>XWAPPC01</v>
      </c>
    </row>
    <row r="1255" spans="1:13" ht="11.4" customHeight="1">
      <c r="A1255" s="24" t="s">
        <v>2379</v>
      </c>
      <c r="B1255" s="24" t="s">
        <v>2328</v>
      </c>
      <c r="C1255" s="24">
        <v>0.5</v>
      </c>
      <c r="D1255" s="24">
        <v>1265</v>
      </c>
      <c r="E1255" s="24">
        <v>2520</v>
      </c>
      <c r="F1255" s="30" t="s">
        <v>1620</v>
      </c>
      <c r="G1255" s="24" t="s">
        <v>1222</v>
      </c>
      <c r="H1255" s="24" t="s">
        <v>2378</v>
      </c>
      <c r="I1255" s="24" t="s">
        <v>1237</v>
      </c>
      <c r="J1255" s="24" t="s">
        <v>1122</v>
      </c>
      <c r="K1255" s="24" t="s">
        <v>1224</v>
      </c>
      <c r="L1255" s="24" t="s">
        <v>1225</v>
      </c>
      <c r="M1255" s="24" t="str">
        <f t="shared" si="19"/>
        <v>XWAPPC01</v>
      </c>
    </row>
    <row r="1256" spans="1:13" ht="11.4" customHeight="1">
      <c r="A1256" s="24" t="s">
        <v>2380</v>
      </c>
      <c r="B1256" s="24" t="s">
        <v>2328</v>
      </c>
      <c r="C1256" s="24">
        <v>0.5</v>
      </c>
      <c r="D1256" s="24">
        <v>965</v>
      </c>
      <c r="E1256" s="24">
        <v>2250</v>
      </c>
      <c r="F1256" s="30" t="s">
        <v>1252</v>
      </c>
      <c r="G1256" s="24" t="s">
        <v>1222</v>
      </c>
      <c r="H1256" s="24" t="s">
        <v>1380</v>
      </c>
      <c r="I1256" s="24" t="s">
        <v>1223</v>
      </c>
      <c r="K1256" s="24" t="s">
        <v>1224</v>
      </c>
      <c r="L1256" s="24" t="s">
        <v>1339</v>
      </c>
      <c r="M1256" s="24" t="str">
        <f t="shared" si="19"/>
        <v>XWAPBA03</v>
      </c>
    </row>
    <row r="1257" spans="1:13" ht="11.4" customHeight="1">
      <c r="A1257" s="24" t="s">
        <v>1090</v>
      </c>
      <c r="B1257" s="24" t="s">
        <v>2328</v>
      </c>
      <c r="C1257" s="24">
        <v>0.5</v>
      </c>
      <c r="D1257" s="24">
        <v>965</v>
      </c>
      <c r="E1257" s="24">
        <v>2250</v>
      </c>
      <c r="F1257" s="30" t="s">
        <v>1252</v>
      </c>
      <c r="G1257" s="24" t="s">
        <v>1222</v>
      </c>
      <c r="H1257" s="24" t="s">
        <v>1380</v>
      </c>
      <c r="I1257" s="24" t="s">
        <v>1223</v>
      </c>
      <c r="K1257" s="24" t="s">
        <v>1224</v>
      </c>
      <c r="L1257" s="24" t="s">
        <v>1339</v>
      </c>
      <c r="M1257" s="24" t="str">
        <f t="shared" si="19"/>
        <v>XWAPBA03</v>
      </c>
    </row>
    <row r="1258" spans="1:13" ht="11.4" customHeight="1">
      <c r="A1258" s="24" t="s">
        <v>2381</v>
      </c>
      <c r="B1258" s="24" t="s">
        <v>2328</v>
      </c>
      <c r="C1258" s="24">
        <v>0.5</v>
      </c>
      <c r="D1258" s="24">
        <v>965</v>
      </c>
      <c r="E1258" s="24">
        <v>2520</v>
      </c>
      <c r="F1258" s="30" t="s">
        <v>1252</v>
      </c>
      <c r="G1258" s="24" t="s">
        <v>1222</v>
      </c>
      <c r="H1258" s="24" t="s">
        <v>1380</v>
      </c>
      <c r="I1258" s="24" t="s">
        <v>1223</v>
      </c>
      <c r="K1258" s="24" t="s">
        <v>1224</v>
      </c>
      <c r="L1258" s="24" t="s">
        <v>1339</v>
      </c>
      <c r="M1258" s="24" t="str">
        <f t="shared" si="19"/>
        <v>XWAPBA04</v>
      </c>
    </row>
    <row r="1259" spans="1:13" ht="11.4" customHeight="1">
      <c r="A1259" s="24" t="s">
        <v>2382</v>
      </c>
      <c r="B1259" s="24" t="s">
        <v>2328</v>
      </c>
      <c r="C1259" s="24">
        <v>0.5</v>
      </c>
      <c r="D1259" s="24">
        <v>1265</v>
      </c>
      <c r="E1259" s="24">
        <v>2520</v>
      </c>
      <c r="F1259" s="30" t="s">
        <v>1252</v>
      </c>
      <c r="G1259" s="24" t="s">
        <v>1222</v>
      </c>
      <c r="H1259" s="24" t="s">
        <v>1380</v>
      </c>
      <c r="I1259" s="24" t="s">
        <v>1223</v>
      </c>
      <c r="K1259" s="24" t="s">
        <v>1224</v>
      </c>
      <c r="L1259" s="24" t="s">
        <v>1339</v>
      </c>
      <c r="M1259" s="24" t="str">
        <f t="shared" si="19"/>
        <v>XWAPBA05</v>
      </c>
    </row>
    <row r="1260" spans="1:13" ht="11.4" customHeight="1">
      <c r="A1260" s="24" t="s">
        <v>1093</v>
      </c>
      <c r="B1260" s="24" t="s">
        <v>2328</v>
      </c>
      <c r="C1260" s="24">
        <v>0.5</v>
      </c>
      <c r="D1260" s="24">
        <v>965</v>
      </c>
      <c r="E1260" s="24">
        <v>2520</v>
      </c>
      <c r="F1260" s="30" t="s">
        <v>1252</v>
      </c>
      <c r="G1260" s="24" t="s">
        <v>1222</v>
      </c>
      <c r="H1260" s="24" t="s">
        <v>1380</v>
      </c>
      <c r="I1260" s="24" t="s">
        <v>1223</v>
      </c>
      <c r="K1260" s="24" t="s">
        <v>1224</v>
      </c>
      <c r="L1260" s="24" t="s">
        <v>1339</v>
      </c>
      <c r="M1260" s="24" t="str">
        <f t="shared" si="19"/>
        <v>XWAPBA04</v>
      </c>
    </row>
    <row r="1261" spans="1:13" ht="11.4" customHeight="1">
      <c r="A1261" s="24" t="s">
        <v>1103</v>
      </c>
      <c r="B1261" s="24" t="s">
        <v>2328</v>
      </c>
      <c r="C1261" s="24">
        <v>0.5</v>
      </c>
      <c r="D1261" s="24">
        <v>1265</v>
      </c>
      <c r="E1261" s="24">
        <v>2520</v>
      </c>
      <c r="F1261" s="30" t="s">
        <v>1252</v>
      </c>
      <c r="G1261" s="24" t="s">
        <v>1222</v>
      </c>
      <c r="H1261" s="24" t="s">
        <v>1380</v>
      </c>
      <c r="I1261" s="24" t="s">
        <v>1223</v>
      </c>
      <c r="K1261" s="24" t="s">
        <v>1224</v>
      </c>
      <c r="L1261" s="24" t="s">
        <v>1339</v>
      </c>
      <c r="M1261" s="24" t="str">
        <f t="shared" si="19"/>
        <v>XWAPBA05</v>
      </c>
    </row>
    <row r="1262" spans="1:13" ht="11.4" customHeight="1">
      <c r="A1262" s="24" t="s">
        <v>2383</v>
      </c>
      <c r="B1262" s="24" t="s">
        <v>2328</v>
      </c>
      <c r="C1262" s="24">
        <v>0.5</v>
      </c>
      <c r="D1262" s="24">
        <v>1265</v>
      </c>
      <c r="E1262" s="24">
        <v>2800</v>
      </c>
      <c r="F1262" s="30" t="s">
        <v>1252</v>
      </c>
      <c r="G1262" s="24" t="s">
        <v>1222</v>
      </c>
      <c r="H1262" s="24" t="s">
        <v>1380</v>
      </c>
      <c r="I1262" s="24" t="s">
        <v>1223</v>
      </c>
      <c r="K1262" s="24" t="s">
        <v>1224</v>
      </c>
      <c r="L1262" s="24" t="s">
        <v>1339</v>
      </c>
      <c r="M1262" s="24" t="str">
        <f t="shared" si="19"/>
        <v>XWAPBA10</v>
      </c>
    </row>
    <row r="1263" spans="1:13" ht="11.4" customHeight="1">
      <c r="A1263" s="24" t="s">
        <v>2384</v>
      </c>
      <c r="B1263" s="24" t="s">
        <v>2328</v>
      </c>
      <c r="C1263" s="24">
        <v>0.5</v>
      </c>
      <c r="D1263" s="24">
        <v>930</v>
      </c>
      <c r="E1263" s="24">
        <v>2800</v>
      </c>
      <c r="F1263" s="30" t="s">
        <v>1252</v>
      </c>
      <c r="G1263" s="24" t="s">
        <v>1222</v>
      </c>
      <c r="H1263" s="24" t="s">
        <v>1380</v>
      </c>
      <c r="I1263" s="24" t="s">
        <v>1223</v>
      </c>
      <c r="K1263" s="24" t="s">
        <v>1224</v>
      </c>
      <c r="L1263" s="24" t="s">
        <v>1339</v>
      </c>
      <c r="M1263" s="24" t="str">
        <f t="shared" si="19"/>
        <v>XWAPBA11</v>
      </c>
    </row>
    <row r="1264" spans="1:13" ht="11.4" customHeight="1">
      <c r="A1264" s="24" t="s">
        <v>2385</v>
      </c>
      <c r="B1264" s="24" t="s">
        <v>2328</v>
      </c>
      <c r="C1264" s="24">
        <v>0.5</v>
      </c>
      <c r="D1264" s="24">
        <v>965</v>
      </c>
      <c r="E1264" s="24">
        <v>2800</v>
      </c>
      <c r="F1264" s="30" t="s">
        <v>1252</v>
      </c>
      <c r="G1264" s="24" t="s">
        <v>1222</v>
      </c>
      <c r="H1264" s="24" t="s">
        <v>1380</v>
      </c>
      <c r="I1264" s="24" t="s">
        <v>1223</v>
      </c>
      <c r="K1264" s="24" t="s">
        <v>1224</v>
      </c>
      <c r="L1264" s="24" t="s">
        <v>1339</v>
      </c>
      <c r="M1264" s="24" t="str">
        <f t="shared" si="19"/>
        <v>XWAPBA13</v>
      </c>
    </row>
    <row r="1265" spans="1:13" ht="11.4" customHeight="1">
      <c r="A1265" s="24" t="s">
        <v>1106</v>
      </c>
      <c r="B1265" s="24" t="s">
        <v>2328</v>
      </c>
      <c r="C1265" s="24">
        <v>0.5</v>
      </c>
      <c r="D1265" s="24">
        <v>1265</v>
      </c>
      <c r="E1265" s="24">
        <v>2800</v>
      </c>
      <c r="F1265" s="30" t="s">
        <v>1252</v>
      </c>
      <c r="G1265" s="24" t="s">
        <v>1222</v>
      </c>
      <c r="H1265" s="24" t="s">
        <v>1380</v>
      </c>
      <c r="I1265" s="24" t="s">
        <v>1223</v>
      </c>
      <c r="K1265" s="24" t="s">
        <v>1224</v>
      </c>
      <c r="L1265" s="24" t="s">
        <v>1339</v>
      </c>
      <c r="M1265" s="24" t="str">
        <f t="shared" si="19"/>
        <v>XWAPBA10</v>
      </c>
    </row>
    <row r="1266" spans="1:13" ht="11.4" customHeight="1">
      <c r="A1266" s="24" t="s">
        <v>2386</v>
      </c>
      <c r="B1266" s="24" t="s">
        <v>2328</v>
      </c>
      <c r="C1266" s="24">
        <v>0.5</v>
      </c>
      <c r="D1266" s="24">
        <v>930</v>
      </c>
      <c r="E1266" s="24">
        <v>2800</v>
      </c>
      <c r="F1266" s="30" t="s">
        <v>1252</v>
      </c>
      <c r="G1266" s="24" t="s">
        <v>1222</v>
      </c>
      <c r="H1266" s="24" t="s">
        <v>1380</v>
      </c>
      <c r="I1266" s="24" t="s">
        <v>1223</v>
      </c>
      <c r="K1266" s="24" t="s">
        <v>1224</v>
      </c>
      <c r="L1266" s="24" t="s">
        <v>1339</v>
      </c>
      <c r="M1266" s="24" t="str">
        <f t="shared" si="19"/>
        <v>XWAPBA11</v>
      </c>
    </row>
    <row r="1267" spans="1:13" ht="11.4" customHeight="1">
      <c r="A1267" s="24" t="s">
        <v>1096</v>
      </c>
      <c r="B1267" s="24" t="s">
        <v>2328</v>
      </c>
      <c r="C1267" s="24">
        <v>0.5</v>
      </c>
      <c r="D1267" s="24">
        <v>965</v>
      </c>
      <c r="E1267" s="24">
        <v>2800</v>
      </c>
      <c r="F1267" s="30" t="s">
        <v>1252</v>
      </c>
      <c r="G1267" s="24" t="s">
        <v>1222</v>
      </c>
      <c r="H1267" s="24" t="s">
        <v>1380</v>
      </c>
      <c r="I1267" s="24" t="s">
        <v>1223</v>
      </c>
      <c r="K1267" s="24" t="s">
        <v>1224</v>
      </c>
      <c r="L1267" s="24" t="s">
        <v>1339</v>
      </c>
      <c r="M1267" s="24" t="str">
        <f t="shared" si="19"/>
        <v>XWAPBA13</v>
      </c>
    </row>
    <row r="1268" spans="1:13" ht="11.4" customHeight="1">
      <c r="A1268" s="24" t="s">
        <v>2387</v>
      </c>
      <c r="B1268" s="24" t="s">
        <v>2328</v>
      </c>
      <c r="C1268" s="24">
        <v>0.5</v>
      </c>
      <c r="D1268" s="24">
        <v>965</v>
      </c>
      <c r="E1268" s="24">
        <v>2800</v>
      </c>
      <c r="F1268" s="30" t="s">
        <v>1252</v>
      </c>
      <c r="G1268" s="24" t="s">
        <v>1222</v>
      </c>
      <c r="H1268" s="24" t="s">
        <v>1380</v>
      </c>
      <c r="I1268" s="24" t="s">
        <v>2000</v>
      </c>
      <c r="K1268" s="24" t="s">
        <v>1224</v>
      </c>
      <c r="L1268" s="24" t="s">
        <v>1339</v>
      </c>
      <c r="M1268" s="24" t="str">
        <f t="shared" si="19"/>
        <v>XWAPBA14</v>
      </c>
    </row>
    <row r="1269" spans="1:13" ht="11.4" customHeight="1">
      <c r="A1269" s="24" t="s">
        <v>1099</v>
      </c>
      <c r="B1269" s="24" t="s">
        <v>2328</v>
      </c>
      <c r="C1269" s="24">
        <v>0.5</v>
      </c>
      <c r="D1269" s="24">
        <v>965</v>
      </c>
      <c r="E1269" s="24">
        <v>2800</v>
      </c>
      <c r="F1269" s="30" t="s">
        <v>1252</v>
      </c>
      <c r="G1269" s="24" t="s">
        <v>1222</v>
      </c>
      <c r="H1269" s="24" t="s">
        <v>1380</v>
      </c>
      <c r="I1269" s="24" t="s">
        <v>2000</v>
      </c>
      <c r="K1269" s="24" t="s">
        <v>1224</v>
      </c>
      <c r="L1269" s="24" t="s">
        <v>1339</v>
      </c>
      <c r="M1269" s="24" t="str">
        <f t="shared" si="19"/>
        <v>XWAPBA14</v>
      </c>
    </row>
    <row r="1270" spans="1:13" ht="11.4" customHeight="1">
      <c r="A1270" s="24" t="s">
        <v>2388</v>
      </c>
      <c r="B1270" s="24" t="s">
        <v>2328</v>
      </c>
      <c r="C1270" s="24">
        <v>0.5</v>
      </c>
      <c r="D1270" s="24">
        <v>1265</v>
      </c>
      <c r="E1270" s="24">
        <v>2520</v>
      </c>
      <c r="F1270" s="30" t="s">
        <v>1221</v>
      </c>
      <c r="G1270" s="24" t="s">
        <v>1222</v>
      </c>
      <c r="H1270" s="24" t="s">
        <v>1286</v>
      </c>
      <c r="I1270" s="24" t="s">
        <v>1230</v>
      </c>
      <c r="K1270" s="24" t="s">
        <v>1224</v>
      </c>
      <c r="L1270" s="24" t="s">
        <v>1225</v>
      </c>
      <c r="M1270" s="24" t="str">
        <f t="shared" si="19"/>
        <v>XWAPMR01</v>
      </c>
    </row>
    <row r="1271" spans="1:13" ht="11.4" customHeight="1">
      <c r="A1271" s="24" t="s">
        <v>2389</v>
      </c>
      <c r="B1271" s="24" t="s">
        <v>2328</v>
      </c>
      <c r="C1271" s="24">
        <v>0.5</v>
      </c>
      <c r="D1271" s="24">
        <v>1265</v>
      </c>
      <c r="E1271" s="24">
        <v>2520</v>
      </c>
      <c r="F1271" s="30" t="s">
        <v>1221</v>
      </c>
      <c r="G1271" s="24" t="s">
        <v>1222</v>
      </c>
      <c r="H1271" s="24" t="s">
        <v>1286</v>
      </c>
      <c r="I1271" s="24" t="s">
        <v>1230</v>
      </c>
      <c r="K1271" s="24" t="s">
        <v>1224</v>
      </c>
      <c r="L1271" s="24" t="s">
        <v>1225</v>
      </c>
      <c r="M1271" s="24" t="str">
        <f t="shared" si="19"/>
        <v>XWAPMR01</v>
      </c>
    </row>
    <row r="1272" spans="1:13" ht="11.4" customHeight="1">
      <c r="A1272" s="24" t="s">
        <v>2390</v>
      </c>
      <c r="B1272" s="24" t="s">
        <v>2328</v>
      </c>
      <c r="C1272" s="24">
        <v>0.5</v>
      </c>
      <c r="D1272" s="24">
        <v>50</v>
      </c>
      <c r="E1272" s="24">
        <v>99</v>
      </c>
      <c r="F1272" s="24">
        <v>0</v>
      </c>
      <c r="G1272" s="24" t="s">
        <v>1222</v>
      </c>
      <c r="H1272" s="24" t="s">
        <v>1662</v>
      </c>
      <c r="I1272" s="24" t="s">
        <v>1240</v>
      </c>
      <c r="J1272" s="24" t="s">
        <v>1122</v>
      </c>
      <c r="K1272" s="24" t="s">
        <v>1224</v>
      </c>
      <c r="L1272" s="24" t="s">
        <v>1615</v>
      </c>
      <c r="M1272" s="24" t="str">
        <f t="shared" si="19"/>
        <v>KWAPZS01</v>
      </c>
    </row>
    <row r="1273" spans="1:13" ht="11.4" customHeight="1">
      <c r="A1273" s="24" t="s">
        <v>2391</v>
      </c>
      <c r="B1273" s="24" t="s">
        <v>2328</v>
      </c>
      <c r="C1273" s="24">
        <v>0.5</v>
      </c>
      <c r="D1273" s="24">
        <v>965</v>
      </c>
      <c r="E1273" s="24">
        <v>2520</v>
      </c>
      <c r="F1273" s="30" t="s">
        <v>1240</v>
      </c>
      <c r="G1273" s="24" t="s">
        <v>1222</v>
      </c>
      <c r="H1273" s="24" t="s">
        <v>1163</v>
      </c>
      <c r="I1273" s="24" t="s">
        <v>1223</v>
      </c>
      <c r="K1273" s="24" t="s">
        <v>1224</v>
      </c>
      <c r="L1273" s="24" t="s">
        <v>1409</v>
      </c>
      <c r="M1273" s="24" t="str">
        <f t="shared" si="19"/>
        <v>XWAPZW03</v>
      </c>
    </row>
    <row r="1274" spans="1:13" ht="11.4" customHeight="1">
      <c r="A1274" s="24" t="s">
        <v>2392</v>
      </c>
      <c r="B1274" s="24" t="s">
        <v>2328</v>
      </c>
      <c r="C1274" s="24">
        <v>0.5</v>
      </c>
      <c r="D1274" s="24">
        <v>1265</v>
      </c>
      <c r="E1274" s="24">
        <v>2520</v>
      </c>
      <c r="F1274" s="30" t="s">
        <v>1240</v>
      </c>
      <c r="G1274" s="24" t="s">
        <v>1222</v>
      </c>
      <c r="H1274" s="24" t="s">
        <v>1163</v>
      </c>
      <c r="I1274" s="24" t="s">
        <v>1240</v>
      </c>
      <c r="K1274" s="24" t="s">
        <v>1224</v>
      </c>
      <c r="L1274" s="24" t="s">
        <v>1225</v>
      </c>
      <c r="M1274" s="24" t="str">
        <f t="shared" si="19"/>
        <v>XWAPZW01</v>
      </c>
    </row>
    <row r="1275" spans="1:13" ht="11.4" customHeight="1">
      <c r="A1275" s="24" t="s">
        <v>2393</v>
      </c>
      <c r="B1275" s="24" t="s">
        <v>2328</v>
      </c>
      <c r="C1275" s="24">
        <v>0.5</v>
      </c>
      <c r="D1275" s="24">
        <v>1265</v>
      </c>
      <c r="E1275" s="24">
        <v>3100</v>
      </c>
      <c r="F1275" s="30" t="s">
        <v>1240</v>
      </c>
      <c r="G1275" s="24" t="s">
        <v>1222</v>
      </c>
      <c r="H1275" s="24" t="s">
        <v>1163</v>
      </c>
      <c r="I1275" s="24" t="s">
        <v>1240</v>
      </c>
      <c r="K1275" s="24" t="s">
        <v>1224</v>
      </c>
      <c r="L1275" s="24" t="s">
        <v>1225</v>
      </c>
      <c r="M1275" s="24" t="str">
        <f t="shared" si="19"/>
        <v>XWAPZW02</v>
      </c>
    </row>
    <row r="1276" spans="1:13" ht="11.4" customHeight="1">
      <c r="A1276" s="24" t="s">
        <v>2394</v>
      </c>
      <c r="B1276" s="24" t="s">
        <v>2328</v>
      </c>
      <c r="C1276" s="24">
        <v>0.5</v>
      </c>
      <c r="D1276" s="24">
        <v>1265</v>
      </c>
      <c r="E1276" s="24">
        <v>2520</v>
      </c>
      <c r="F1276" s="30" t="s">
        <v>1240</v>
      </c>
      <c r="G1276" s="24" t="s">
        <v>1222</v>
      </c>
      <c r="H1276" s="24" t="s">
        <v>1163</v>
      </c>
      <c r="I1276" s="24" t="s">
        <v>1240</v>
      </c>
      <c r="K1276" s="24" t="s">
        <v>1224</v>
      </c>
      <c r="L1276" s="24" t="s">
        <v>1225</v>
      </c>
      <c r="M1276" s="24" t="str">
        <f t="shared" si="19"/>
        <v>XWAPZW01</v>
      </c>
    </row>
    <row r="1277" spans="1:13" ht="11.4" customHeight="1">
      <c r="A1277" s="24" t="s">
        <v>2395</v>
      </c>
      <c r="B1277" s="24" t="s">
        <v>2328</v>
      </c>
      <c r="C1277" s="24">
        <v>0.5</v>
      </c>
      <c r="D1277" s="24">
        <v>1265</v>
      </c>
      <c r="E1277" s="24">
        <v>3100</v>
      </c>
      <c r="F1277" s="30" t="s">
        <v>1240</v>
      </c>
      <c r="G1277" s="24" t="s">
        <v>1222</v>
      </c>
      <c r="H1277" s="24" t="s">
        <v>1163</v>
      </c>
      <c r="I1277" s="24" t="s">
        <v>1240</v>
      </c>
      <c r="K1277" s="24" t="s">
        <v>1224</v>
      </c>
      <c r="L1277" s="24" t="s">
        <v>1225</v>
      </c>
      <c r="M1277" s="24" t="str">
        <f t="shared" si="19"/>
        <v>XWAPZW02</v>
      </c>
    </row>
    <row r="1278" spans="1:13" ht="11.4" customHeight="1">
      <c r="A1278" s="24" t="s">
        <v>2396</v>
      </c>
      <c r="B1278" s="24" t="s">
        <v>2328</v>
      </c>
      <c r="C1278" s="24">
        <v>0.5</v>
      </c>
      <c r="D1278" s="24">
        <v>1265</v>
      </c>
      <c r="E1278" s="24">
        <v>2520</v>
      </c>
      <c r="F1278" s="30" t="s">
        <v>1221</v>
      </c>
      <c r="G1278" s="24" t="s">
        <v>1342</v>
      </c>
      <c r="H1278" s="24" t="s">
        <v>1109</v>
      </c>
      <c r="I1278" s="24" t="s">
        <v>1223</v>
      </c>
      <c r="K1278" s="24" t="s">
        <v>1224</v>
      </c>
      <c r="L1278" s="24" t="s">
        <v>1225</v>
      </c>
      <c r="M1278" s="24" t="str">
        <f t="shared" si="19"/>
        <v>XWAQB101</v>
      </c>
    </row>
    <row r="1279" spans="1:13" ht="11.4" customHeight="1">
      <c r="A1279" s="24" t="s">
        <v>2397</v>
      </c>
      <c r="B1279" s="24" t="s">
        <v>2328</v>
      </c>
      <c r="C1279" s="24">
        <v>0.5</v>
      </c>
      <c r="D1279" s="24">
        <v>1265</v>
      </c>
      <c r="E1279" s="24">
        <v>2520</v>
      </c>
      <c r="F1279" s="30" t="s">
        <v>1221</v>
      </c>
      <c r="G1279" s="24" t="s">
        <v>1342</v>
      </c>
      <c r="H1279" s="24" t="s">
        <v>1109</v>
      </c>
      <c r="I1279" s="24" t="s">
        <v>1223</v>
      </c>
      <c r="K1279" s="24" t="s">
        <v>1224</v>
      </c>
      <c r="L1279" s="24" t="s">
        <v>1225</v>
      </c>
      <c r="M1279" s="24" t="str">
        <f t="shared" si="19"/>
        <v>XWAQB101</v>
      </c>
    </row>
    <row r="1280" spans="1:13" ht="11.4" customHeight="1">
      <c r="A1280" s="24" t="s">
        <v>2398</v>
      </c>
      <c r="B1280" s="24" t="s">
        <v>2328</v>
      </c>
      <c r="C1280" s="24">
        <v>0.5</v>
      </c>
      <c r="D1280" s="24">
        <v>1265</v>
      </c>
      <c r="E1280" s="24">
        <v>2520</v>
      </c>
      <c r="F1280" s="30" t="s">
        <v>1221</v>
      </c>
      <c r="G1280" s="24" t="s">
        <v>1342</v>
      </c>
      <c r="H1280" s="24" t="s">
        <v>1244</v>
      </c>
      <c r="I1280" s="24" t="s">
        <v>1223</v>
      </c>
      <c r="K1280" s="24" t="s">
        <v>1224</v>
      </c>
      <c r="L1280" s="24" t="s">
        <v>1225</v>
      </c>
      <c r="M1280" s="24" t="str">
        <f t="shared" si="19"/>
        <v>XWAQB201</v>
      </c>
    </row>
    <row r="1281" spans="1:13" ht="11.4" customHeight="1">
      <c r="A1281" s="24" t="s">
        <v>2399</v>
      </c>
      <c r="B1281" s="24" t="s">
        <v>2328</v>
      </c>
      <c r="C1281" s="24">
        <v>0.5</v>
      </c>
      <c r="D1281" s="24">
        <v>1265</v>
      </c>
      <c r="E1281" s="24">
        <v>2520</v>
      </c>
      <c r="F1281" s="30" t="s">
        <v>1221</v>
      </c>
      <c r="G1281" s="24" t="s">
        <v>1342</v>
      </c>
      <c r="H1281" s="24" t="s">
        <v>1244</v>
      </c>
      <c r="I1281" s="24" t="s">
        <v>1223</v>
      </c>
      <c r="K1281" s="24" t="s">
        <v>1224</v>
      </c>
      <c r="L1281" s="24" t="s">
        <v>1225</v>
      </c>
      <c r="M1281" s="24" t="str">
        <f t="shared" si="19"/>
        <v>XWAQB201</v>
      </c>
    </row>
    <row r="1282" spans="1:13" ht="11.4" customHeight="1">
      <c r="A1282" s="24" t="s">
        <v>2400</v>
      </c>
      <c r="B1282" s="24" t="s">
        <v>2328</v>
      </c>
      <c r="C1282" s="24">
        <v>0.5</v>
      </c>
      <c r="D1282" s="24">
        <v>1265</v>
      </c>
      <c r="E1282" s="24">
        <v>2520</v>
      </c>
      <c r="F1282" s="30" t="s">
        <v>1252</v>
      </c>
      <c r="G1282" s="24" t="s">
        <v>1342</v>
      </c>
      <c r="H1282" s="24" t="s">
        <v>49</v>
      </c>
      <c r="I1282" s="24" t="s">
        <v>1223</v>
      </c>
      <c r="K1282" s="24" t="s">
        <v>1224</v>
      </c>
      <c r="L1282" s="24" t="s">
        <v>1225</v>
      </c>
      <c r="M1282" s="24" t="str">
        <f t="shared" si="19"/>
        <v>XWAQBA01</v>
      </c>
    </row>
    <row r="1283" spans="1:13" ht="11.4" customHeight="1">
      <c r="A1283" s="24" t="s">
        <v>2401</v>
      </c>
      <c r="B1283" s="24" t="s">
        <v>2328</v>
      </c>
      <c r="C1283" s="24">
        <v>0.5</v>
      </c>
      <c r="D1283" s="24">
        <v>1265</v>
      </c>
      <c r="E1283" s="24">
        <v>2520</v>
      </c>
      <c r="F1283" s="30" t="s">
        <v>1252</v>
      </c>
      <c r="G1283" s="24" t="s">
        <v>1342</v>
      </c>
      <c r="H1283" s="24" t="s">
        <v>49</v>
      </c>
      <c r="I1283" s="24" t="s">
        <v>1223</v>
      </c>
      <c r="K1283" s="24" t="s">
        <v>1224</v>
      </c>
      <c r="L1283" s="24" t="s">
        <v>1225</v>
      </c>
      <c r="M1283" s="24" t="str">
        <f t="shared" si="19"/>
        <v>XWAQBA01</v>
      </c>
    </row>
    <row r="1284" spans="1:13" ht="11.4" customHeight="1">
      <c r="A1284" s="24" t="s">
        <v>2402</v>
      </c>
      <c r="B1284" s="24" t="s">
        <v>2328</v>
      </c>
      <c r="C1284" s="24">
        <v>0.5</v>
      </c>
      <c r="D1284" s="24">
        <v>1265</v>
      </c>
      <c r="E1284" s="24">
        <v>2520</v>
      </c>
      <c r="F1284" s="30" t="s">
        <v>1620</v>
      </c>
      <c r="G1284" s="24" t="s">
        <v>1342</v>
      </c>
      <c r="H1284" s="24" t="s">
        <v>1137</v>
      </c>
      <c r="I1284" s="24" t="s">
        <v>1223</v>
      </c>
      <c r="J1284" s="24" t="s">
        <v>1122</v>
      </c>
      <c r="K1284" s="24" t="s">
        <v>1224</v>
      </c>
      <c r="L1284" s="24" t="s">
        <v>1225</v>
      </c>
      <c r="M1284" s="24" t="str">
        <f t="shared" ref="M1284:M1310" si="20">RIGHT(A1284,8)</f>
        <v>XWAQBB01</v>
      </c>
    </row>
    <row r="1285" spans="1:13" ht="11.4" customHeight="1">
      <c r="A1285" s="24" t="s">
        <v>2403</v>
      </c>
      <c r="B1285" s="24" t="s">
        <v>2328</v>
      </c>
      <c r="C1285" s="24">
        <v>0.5</v>
      </c>
      <c r="D1285" s="24">
        <v>1265</v>
      </c>
      <c r="E1285" s="24">
        <v>2520</v>
      </c>
      <c r="F1285" s="30" t="s">
        <v>1620</v>
      </c>
      <c r="G1285" s="24" t="s">
        <v>1342</v>
      </c>
      <c r="H1285" s="24" t="s">
        <v>1137</v>
      </c>
      <c r="I1285" s="24" t="s">
        <v>1223</v>
      </c>
      <c r="J1285" s="24" t="s">
        <v>1122</v>
      </c>
      <c r="K1285" s="24" t="s">
        <v>1224</v>
      </c>
      <c r="L1285" s="24" t="s">
        <v>1225</v>
      </c>
      <c r="M1285" s="24" t="str">
        <f t="shared" si="20"/>
        <v>XWAQBB01</v>
      </c>
    </row>
    <row r="1286" spans="1:13" ht="11.4" customHeight="1">
      <c r="A1286" s="24" t="s">
        <v>2404</v>
      </c>
      <c r="B1286" s="24" t="s">
        <v>2328</v>
      </c>
      <c r="C1286" s="24">
        <v>0.5</v>
      </c>
      <c r="D1286" s="24">
        <v>50</v>
      </c>
      <c r="E1286" s="24">
        <v>99</v>
      </c>
      <c r="F1286" s="24">
        <v>0</v>
      </c>
      <c r="G1286" s="24" t="s">
        <v>1342</v>
      </c>
      <c r="H1286" s="24" t="s">
        <v>2405</v>
      </c>
      <c r="I1286" s="24" t="s">
        <v>1223</v>
      </c>
      <c r="J1286" s="24" t="s">
        <v>1122</v>
      </c>
      <c r="K1286" s="24" t="s">
        <v>1224</v>
      </c>
      <c r="L1286" s="24" t="s">
        <v>1615</v>
      </c>
      <c r="M1286" s="24" t="str">
        <f t="shared" si="20"/>
        <v>KWAQBS01</v>
      </c>
    </row>
    <row r="1287" spans="1:13" ht="14.25" customHeight="1">
      <c r="A1287" s="24" t="s">
        <v>1171</v>
      </c>
      <c r="B1287" s="24" t="s">
        <v>2092</v>
      </c>
      <c r="C1287" s="24">
        <v>0.4</v>
      </c>
      <c r="D1287" s="24">
        <v>1265</v>
      </c>
      <c r="E1287" s="24">
        <v>2520</v>
      </c>
      <c r="F1287" s="30" t="s">
        <v>1240</v>
      </c>
      <c r="G1287" s="24" t="s">
        <v>1222</v>
      </c>
      <c r="H1287" s="24" t="s">
        <v>1163</v>
      </c>
      <c r="I1287" s="24" t="s">
        <v>1240</v>
      </c>
      <c r="K1287" s="24" t="s">
        <v>1224</v>
      </c>
      <c r="L1287" s="24" t="s">
        <v>1225</v>
      </c>
      <c r="M1287" s="24" t="str">
        <f t="shared" si="20"/>
        <v>XWOPZW04</v>
      </c>
    </row>
    <row r="1288" spans="1:13" ht="11.4" customHeight="1">
      <c r="A1288" s="25" t="s">
        <v>1173</v>
      </c>
      <c r="B1288" s="24" t="s">
        <v>2092</v>
      </c>
      <c r="C1288" s="24">
        <v>0.4</v>
      </c>
      <c r="D1288" s="24">
        <v>965</v>
      </c>
      <c r="E1288" s="24">
        <v>2520</v>
      </c>
      <c r="F1288" s="30" t="s">
        <v>1240</v>
      </c>
      <c r="G1288" s="24" t="s">
        <v>1222</v>
      </c>
      <c r="H1288" s="24" t="s">
        <v>1163</v>
      </c>
      <c r="I1288" s="24" t="s">
        <v>1240</v>
      </c>
      <c r="K1288" s="24" t="s">
        <v>1224</v>
      </c>
      <c r="L1288" s="24" t="s">
        <v>1409</v>
      </c>
      <c r="M1288" s="24" t="str">
        <f t="shared" si="20"/>
        <v>XWOPZW09</v>
      </c>
    </row>
    <row r="1289" spans="1:13" ht="11.4" customHeight="1">
      <c r="A1289" s="25" t="s">
        <v>1182</v>
      </c>
      <c r="B1289" s="24" t="s">
        <v>2092</v>
      </c>
      <c r="C1289" s="24">
        <v>0.4</v>
      </c>
      <c r="D1289" s="24">
        <v>965</v>
      </c>
      <c r="E1289" s="24">
        <v>2800</v>
      </c>
      <c r="F1289" s="30" t="s">
        <v>1240</v>
      </c>
      <c r="G1289" s="24" t="s">
        <v>1222</v>
      </c>
      <c r="H1289" s="24" t="s">
        <v>1163</v>
      </c>
      <c r="I1289" s="24" t="s">
        <v>1240</v>
      </c>
      <c r="K1289" s="24" t="s">
        <v>1224</v>
      </c>
      <c r="L1289" s="24" t="s">
        <v>1409</v>
      </c>
      <c r="M1289" s="24" t="str">
        <f t="shared" si="20"/>
        <v>XWOPZW11</v>
      </c>
    </row>
    <row r="1290" spans="1:13" ht="11.4" customHeight="1">
      <c r="A1290" s="25" t="s">
        <v>2406</v>
      </c>
      <c r="B1290" s="24" t="s">
        <v>2092</v>
      </c>
      <c r="C1290" s="24">
        <v>0.5</v>
      </c>
      <c r="D1290" s="24">
        <v>965</v>
      </c>
      <c r="E1290" s="24">
        <v>2520</v>
      </c>
      <c r="F1290" s="30" t="s">
        <v>1240</v>
      </c>
      <c r="G1290" s="24" t="s">
        <v>1222</v>
      </c>
      <c r="H1290" s="24" t="s">
        <v>1163</v>
      </c>
      <c r="I1290" s="24" t="s">
        <v>1240</v>
      </c>
      <c r="K1290" s="24" t="s">
        <v>1224</v>
      </c>
      <c r="L1290" s="24" t="s">
        <v>1409</v>
      </c>
      <c r="M1290" s="24" t="str">
        <f t="shared" si="20"/>
        <v>XWOPZW10</v>
      </c>
    </row>
    <row r="1291" spans="1:13" ht="11.4" customHeight="1">
      <c r="A1291" s="25" t="s">
        <v>1172</v>
      </c>
      <c r="B1291" s="24" t="s">
        <v>2092</v>
      </c>
      <c r="C1291" s="24">
        <v>0.4</v>
      </c>
      <c r="D1291" s="24">
        <v>965</v>
      </c>
      <c r="E1291" s="24">
        <v>2520</v>
      </c>
      <c r="F1291" s="30" t="s">
        <v>1240</v>
      </c>
      <c r="G1291" s="24" t="s">
        <v>1679</v>
      </c>
      <c r="H1291" s="24" t="s">
        <v>1163</v>
      </c>
      <c r="I1291" s="24" t="s">
        <v>1240</v>
      </c>
      <c r="K1291" s="24" t="s">
        <v>1224</v>
      </c>
      <c r="L1291" s="24" t="s">
        <v>1409</v>
      </c>
      <c r="M1291" s="24" t="str">
        <f t="shared" si="20"/>
        <v>XWOFZW08</v>
      </c>
    </row>
    <row r="1292" spans="1:13" ht="11.4" customHeight="1">
      <c r="A1292" s="25" t="s">
        <v>2407</v>
      </c>
      <c r="B1292" s="24" t="s">
        <v>2092</v>
      </c>
      <c r="C1292" s="24">
        <v>0.4</v>
      </c>
      <c r="D1292" s="24">
        <v>1265</v>
      </c>
      <c r="E1292" s="24">
        <v>3100</v>
      </c>
      <c r="F1292" s="34" t="s">
        <v>1252</v>
      </c>
      <c r="G1292" s="33" t="s">
        <v>1679</v>
      </c>
      <c r="H1292" s="24" t="s">
        <v>49</v>
      </c>
      <c r="I1292" s="24" t="s">
        <v>1237</v>
      </c>
      <c r="K1292" s="24" t="s">
        <v>1224</v>
      </c>
      <c r="L1292" s="24" t="s">
        <v>1225</v>
      </c>
      <c r="M1292" s="24" t="str">
        <f t="shared" si="20"/>
        <v>XWOFPA07</v>
      </c>
    </row>
    <row r="1293" spans="1:13" ht="11.4" customHeight="1">
      <c r="A1293" s="25" t="s">
        <v>2408</v>
      </c>
      <c r="B1293" s="24" t="s">
        <v>2092</v>
      </c>
      <c r="C1293" s="24">
        <v>0.5</v>
      </c>
      <c r="D1293" s="24">
        <v>1265</v>
      </c>
      <c r="E1293" s="24">
        <v>3100</v>
      </c>
      <c r="F1293" s="34" t="s">
        <v>1252</v>
      </c>
      <c r="G1293" s="33" t="s">
        <v>1679</v>
      </c>
      <c r="H1293" s="24" t="s">
        <v>49</v>
      </c>
      <c r="I1293" s="24" t="s">
        <v>1237</v>
      </c>
      <c r="K1293" s="24" t="s">
        <v>1224</v>
      </c>
      <c r="L1293" s="24" t="s">
        <v>1225</v>
      </c>
      <c r="M1293" s="24" t="str">
        <f t="shared" si="20"/>
        <v>XWOFPA08</v>
      </c>
    </row>
    <row r="1294" spans="1:13" ht="11.4" customHeight="1">
      <c r="A1294" s="25" t="s">
        <v>1175</v>
      </c>
      <c r="B1294" s="24" t="s">
        <v>2092</v>
      </c>
      <c r="C1294" s="24">
        <v>0.4</v>
      </c>
      <c r="D1294" s="24">
        <v>965</v>
      </c>
      <c r="E1294" s="24">
        <v>2800</v>
      </c>
      <c r="F1294" s="30" t="s">
        <v>1240</v>
      </c>
      <c r="G1294" s="33" t="s">
        <v>1679</v>
      </c>
      <c r="H1294" s="24" t="s">
        <v>1163</v>
      </c>
      <c r="I1294" s="24" t="s">
        <v>1240</v>
      </c>
      <c r="K1294" s="24" t="s">
        <v>1224</v>
      </c>
      <c r="L1294" s="24" t="s">
        <v>1409</v>
      </c>
      <c r="M1294" s="24" t="str">
        <f t="shared" si="20"/>
        <v>XWOFZW09</v>
      </c>
    </row>
    <row r="1295" spans="1:13" ht="11.4" customHeight="1">
      <c r="A1295" s="25" t="s">
        <v>2409</v>
      </c>
      <c r="B1295" s="24" t="s">
        <v>2092</v>
      </c>
      <c r="C1295" s="24">
        <v>0.5</v>
      </c>
      <c r="D1295" s="24">
        <v>965</v>
      </c>
      <c r="E1295" s="24">
        <v>2800</v>
      </c>
      <c r="F1295" s="30" t="s">
        <v>1240</v>
      </c>
      <c r="G1295" s="24" t="s">
        <v>1222</v>
      </c>
      <c r="H1295" s="24" t="s">
        <v>1163</v>
      </c>
      <c r="I1295" s="24" t="s">
        <v>1240</v>
      </c>
      <c r="K1295" s="24" t="s">
        <v>1224</v>
      </c>
      <c r="L1295" s="24" t="s">
        <v>1409</v>
      </c>
      <c r="M1295" s="24" t="str">
        <f t="shared" si="20"/>
        <v>XWOPZW12</v>
      </c>
    </row>
    <row r="1296" spans="1:13" ht="11.4" customHeight="1">
      <c r="A1296" s="25" t="s">
        <v>2410</v>
      </c>
      <c r="B1296" s="24" t="s">
        <v>2092</v>
      </c>
      <c r="C1296" s="24">
        <v>0.4</v>
      </c>
      <c r="D1296" s="24">
        <v>965</v>
      </c>
      <c r="E1296" s="24">
        <v>2520</v>
      </c>
      <c r="F1296" s="30" t="s">
        <v>1240</v>
      </c>
      <c r="G1296" s="24" t="s">
        <v>1222</v>
      </c>
      <c r="H1296" s="24" t="s">
        <v>1163</v>
      </c>
      <c r="I1296" s="24" t="s">
        <v>1240</v>
      </c>
      <c r="K1296" s="24" t="s">
        <v>1224</v>
      </c>
      <c r="L1296" s="24" t="s">
        <v>1409</v>
      </c>
      <c r="M1296" s="24" t="str">
        <f t="shared" si="20"/>
        <v>XWOPZW09</v>
      </c>
    </row>
    <row r="1297" spans="1:13" ht="11.4" customHeight="1">
      <c r="A1297" s="25" t="s">
        <v>2411</v>
      </c>
      <c r="B1297" s="24" t="s">
        <v>2092</v>
      </c>
      <c r="C1297" s="24">
        <v>0.4</v>
      </c>
      <c r="D1297" s="24">
        <v>965</v>
      </c>
      <c r="E1297" s="24">
        <v>2800</v>
      </c>
      <c r="F1297" s="30" t="s">
        <v>1240</v>
      </c>
      <c r="G1297" s="24" t="s">
        <v>1222</v>
      </c>
      <c r="H1297" s="24" t="s">
        <v>1163</v>
      </c>
      <c r="I1297" s="24" t="s">
        <v>1240</v>
      </c>
      <c r="K1297" s="24" t="s">
        <v>1224</v>
      </c>
      <c r="L1297" s="24" t="s">
        <v>1409</v>
      </c>
      <c r="M1297" s="24" t="str">
        <f t="shared" si="20"/>
        <v>XWOPZW11</v>
      </c>
    </row>
    <row r="1298" spans="1:13" ht="11.4" customHeight="1">
      <c r="A1298" s="25" t="s">
        <v>2412</v>
      </c>
      <c r="B1298" s="24" t="s">
        <v>2092</v>
      </c>
      <c r="C1298" s="24">
        <v>0.5</v>
      </c>
      <c r="D1298" s="24">
        <v>965</v>
      </c>
      <c r="E1298" s="24">
        <v>2520</v>
      </c>
      <c r="F1298" s="30" t="s">
        <v>1240</v>
      </c>
      <c r="G1298" s="24" t="s">
        <v>1222</v>
      </c>
      <c r="H1298" s="24" t="s">
        <v>1163</v>
      </c>
      <c r="I1298" s="24" t="s">
        <v>1240</v>
      </c>
      <c r="K1298" s="24" t="s">
        <v>1224</v>
      </c>
      <c r="L1298" s="24" t="s">
        <v>1409</v>
      </c>
      <c r="M1298" s="24" t="str">
        <f t="shared" si="20"/>
        <v>XWOPZW10</v>
      </c>
    </row>
    <row r="1299" spans="1:13" ht="11.4" customHeight="1">
      <c r="A1299" s="25" t="s">
        <v>2413</v>
      </c>
      <c r="B1299" s="24" t="s">
        <v>2092</v>
      </c>
      <c r="C1299" s="24">
        <v>0.4</v>
      </c>
      <c r="D1299" s="24">
        <v>965</v>
      </c>
      <c r="E1299" s="24">
        <v>2520</v>
      </c>
      <c r="F1299" s="30" t="s">
        <v>1240</v>
      </c>
      <c r="G1299" s="24" t="s">
        <v>1679</v>
      </c>
      <c r="H1299" s="24" t="s">
        <v>1163</v>
      </c>
      <c r="I1299" s="24" t="s">
        <v>1240</v>
      </c>
      <c r="K1299" s="24" t="s">
        <v>1224</v>
      </c>
      <c r="L1299" s="24" t="s">
        <v>1409</v>
      </c>
      <c r="M1299" s="24" t="str">
        <f t="shared" si="20"/>
        <v>XWOFZW08</v>
      </c>
    </row>
    <row r="1300" spans="1:13" ht="11.4" customHeight="1">
      <c r="A1300" s="25" t="s">
        <v>2414</v>
      </c>
      <c r="B1300" s="24" t="s">
        <v>2092</v>
      </c>
      <c r="C1300" s="24">
        <v>0.4</v>
      </c>
      <c r="D1300" s="24">
        <v>1265</v>
      </c>
      <c r="E1300" s="24">
        <v>3100</v>
      </c>
      <c r="F1300" s="34" t="s">
        <v>1252</v>
      </c>
      <c r="G1300" s="33" t="s">
        <v>1679</v>
      </c>
      <c r="H1300" s="24" t="s">
        <v>49</v>
      </c>
      <c r="I1300" s="24" t="s">
        <v>1237</v>
      </c>
      <c r="K1300" s="24" t="s">
        <v>1224</v>
      </c>
      <c r="L1300" s="24" t="s">
        <v>1225</v>
      </c>
      <c r="M1300" s="24" t="str">
        <f t="shared" si="20"/>
        <v>XWOFPA07</v>
      </c>
    </row>
    <row r="1301" spans="1:13" ht="11.4" customHeight="1">
      <c r="A1301" s="25" t="s">
        <v>2415</v>
      </c>
      <c r="B1301" s="24" t="s">
        <v>2092</v>
      </c>
      <c r="C1301" s="24">
        <v>0.5</v>
      </c>
      <c r="D1301" s="24">
        <v>1265</v>
      </c>
      <c r="E1301" s="24">
        <v>3100</v>
      </c>
      <c r="F1301" s="34" t="s">
        <v>1252</v>
      </c>
      <c r="G1301" s="33" t="s">
        <v>1679</v>
      </c>
      <c r="H1301" s="24" t="s">
        <v>49</v>
      </c>
      <c r="I1301" s="24" t="s">
        <v>1237</v>
      </c>
      <c r="K1301" s="24" t="s">
        <v>1224</v>
      </c>
      <c r="L1301" s="24" t="s">
        <v>1225</v>
      </c>
      <c r="M1301" s="24" t="str">
        <f t="shared" si="20"/>
        <v>XWOFPA08</v>
      </c>
    </row>
    <row r="1302" spans="1:13" ht="11.4" customHeight="1">
      <c r="A1302" s="25" t="s">
        <v>2416</v>
      </c>
      <c r="B1302" s="24" t="s">
        <v>2092</v>
      </c>
      <c r="C1302" s="24">
        <v>0.4</v>
      </c>
      <c r="D1302" s="24">
        <v>965</v>
      </c>
      <c r="E1302" s="24">
        <v>2800</v>
      </c>
      <c r="F1302" s="30" t="s">
        <v>1240</v>
      </c>
      <c r="G1302" s="33" t="s">
        <v>1679</v>
      </c>
      <c r="H1302" s="24" t="s">
        <v>1163</v>
      </c>
      <c r="I1302" s="24" t="s">
        <v>1240</v>
      </c>
      <c r="K1302" s="24" t="s">
        <v>1224</v>
      </c>
      <c r="L1302" s="24" t="s">
        <v>1409</v>
      </c>
      <c r="M1302" s="24" t="str">
        <f t="shared" si="20"/>
        <v>XWOFZW09</v>
      </c>
    </row>
    <row r="1303" spans="1:13" ht="11.4" customHeight="1">
      <c r="A1303" s="25" t="s">
        <v>2417</v>
      </c>
      <c r="B1303" s="24" t="s">
        <v>2092</v>
      </c>
      <c r="C1303" s="24">
        <v>0.5</v>
      </c>
      <c r="D1303" s="24">
        <v>965</v>
      </c>
      <c r="E1303" s="24">
        <v>2800</v>
      </c>
      <c r="F1303" s="30" t="s">
        <v>1240</v>
      </c>
      <c r="G1303" s="24" t="s">
        <v>1222</v>
      </c>
      <c r="H1303" s="24" t="s">
        <v>1163</v>
      </c>
      <c r="I1303" s="24" t="s">
        <v>1240</v>
      </c>
      <c r="K1303" s="24" t="s">
        <v>1224</v>
      </c>
      <c r="L1303" s="24" t="s">
        <v>1409</v>
      </c>
      <c r="M1303" s="24" t="str">
        <f t="shared" si="20"/>
        <v>XWOPZW12</v>
      </c>
    </row>
    <row r="1304" spans="1:13" ht="11.4" customHeight="1">
      <c r="A1304" s="25" t="s">
        <v>2418</v>
      </c>
      <c r="B1304" s="24" t="s">
        <v>2328</v>
      </c>
      <c r="C1304" s="24">
        <v>0.5</v>
      </c>
      <c r="D1304" s="24">
        <v>965</v>
      </c>
      <c r="E1304" s="24">
        <v>2800</v>
      </c>
      <c r="F1304" s="30" t="s">
        <v>1240</v>
      </c>
      <c r="G1304" s="24" t="s">
        <v>1222</v>
      </c>
      <c r="H1304" s="24" t="s">
        <v>1163</v>
      </c>
      <c r="I1304" s="24" t="s">
        <v>1223</v>
      </c>
      <c r="K1304" s="24" t="s">
        <v>1224</v>
      </c>
      <c r="L1304" s="24" t="s">
        <v>1409</v>
      </c>
      <c r="M1304" s="24" t="str">
        <f t="shared" si="20"/>
        <v>XWAPBW01</v>
      </c>
    </row>
    <row r="1305" spans="1:13" ht="11.4" customHeight="1">
      <c r="A1305" s="37" t="s">
        <v>2419</v>
      </c>
      <c r="B1305" s="24" t="s">
        <v>2092</v>
      </c>
      <c r="C1305" s="24">
        <v>0.5</v>
      </c>
      <c r="D1305" s="24">
        <v>1265</v>
      </c>
      <c r="E1305" s="24">
        <v>2520</v>
      </c>
      <c r="F1305" s="30" t="s">
        <v>1252</v>
      </c>
      <c r="G1305" s="24" t="s">
        <v>1222</v>
      </c>
      <c r="H1305" s="24" t="s">
        <v>2420</v>
      </c>
      <c r="I1305" s="24" t="s">
        <v>1223</v>
      </c>
      <c r="K1305" s="24" t="s">
        <v>1224</v>
      </c>
      <c r="L1305" s="24" t="s">
        <v>1339</v>
      </c>
      <c r="M1305" s="24" t="str">
        <f t="shared" si="20"/>
        <v>XWOPBA21</v>
      </c>
    </row>
    <row r="1306" spans="1:13" ht="11.4" customHeight="1">
      <c r="A1306" s="37" t="s">
        <v>2421</v>
      </c>
      <c r="B1306" s="24" t="s">
        <v>2092</v>
      </c>
      <c r="C1306" s="24">
        <v>0.5</v>
      </c>
      <c r="D1306" s="24">
        <v>1265</v>
      </c>
      <c r="E1306" s="24">
        <v>2520</v>
      </c>
      <c r="F1306" s="30" t="s">
        <v>1252</v>
      </c>
      <c r="G1306" s="24" t="s">
        <v>1222</v>
      </c>
      <c r="H1306" s="24" t="s">
        <v>2420</v>
      </c>
      <c r="I1306" s="24" t="s">
        <v>1223</v>
      </c>
      <c r="K1306" s="24" t="s">
        <v>1224</v>
      </c>
      <c r="L1306" s="24" t="s">
        <v>1339</v>
      </c>
      <c r="M1306" s="24" t="str">
        <f t="shared" si="20"/>
        <v>XWOPBA21</v>
      </c>
    </row>
    <row r="1307" spans="1:13" ht="11.4" customHeight="1">
      <c r="A1307" s="37" t="s">
        <v>2422</v>
      </c>
      <c r="B1307" s="24" t="s">
        <v>2092</v>
      </c>
      <c r="C1307" s="24">
        <v>0.5</v>
      </c>
      <c r="D1307" s="24">
        <v>1265</v>
      </c>
      <c r="E1307" s="24">
        <v>2520</v>
      </c>
      <c r="F1307" s="30" t="s">
        <v>1252</v>
      </c>
      <c r="G1307" s="24" t="s">
        <v>1222</v>
      </c>
      <c r="H1307" s="24" t="s">
        <v>2423</v>
      </c>
      <c r="I1307" s="24" t="s">
        <v>1223</v>
      </c>
      <c r="K1307" s="24" t="s">
        <v>1224</v>
      </c>
      <c r="L1307" s="24" t="s">
        <v>1339</v>
      </c>
      <c r="M1307" s="24" t="str">
        <f t="shared" si="20"/>
        <v>XWOPBA22</v>
      </c>
    </row>
    <row r="1308" spans="1:13" ht="11.4" customHeight="1">
      <c r="A1308" s="37" t="s">
        <v>2424</v>
      </c>
      <c r="B1308" s="24" t="s">
        <v>2092</v>
      </c>
      <c r="C1308" s="24">
        <v>0.5</v>
      </c>
      <c r="D1308" s="24">
        <v>1265</v>
      </c>
      <c r="E1308" s="24">
        <v>2520</v>
      </c>
      <c r="F1308" s="30" t="s">
        <v>1252</v>
      </c>
      <c r="G1308" s="24" t="s">
        <v>1222</v>
      </c>
      <c r="H1308" s="24" t="s">
        <v>2423</v>
      </c>
      <c r="I1308" s="24" t="s">
        <v>1223</v>
      </c>
      <c r="K1308" s="24" t="s">
        <v>1224</v>
      </c>
      <c r="L1308" s="24" t="s">
        <v>1339</v>
      </c>
      <c r="M1308" s="24" t="str">
        <f t="shared" si="20"/>
        <v>XWOPBA22</v>
      </c>
    </row>
    <row r="1309" spans="1:13" ht="11.4" customHeight="1">
      <c r="A1309" s="37" t="s">
        <v>2425</v>
      </c>
      <c r="B1309" s="24" t="s">
        <v>2092</v>
      </c>
      <c r="C1309" s="24">
        <v>0.5</v>
      </c>
      <c r="D1309" s="24">
        <v>1265</v>
      </c>
      <c r="E1309" s="24">
        <v>3100</v>
      </c>
      <c r="F1309" s="30" t="s">
        <v>1252</v>
      </c>
      <c r="G1309" s="24" t="s">
        <v>1222</v>
      </c>
      <c r="H1309" s="24" t="s">
        <v>2420</v>
      </c>
      <c r="I1309" s="24" t="s">
        <v>1223</v>
      </c>
      <c r="K1309" s="24" t="s">
        <v>1224</v>
      </c>
      <c r="L1309" s="24" t="s">
        <v>1339</v>
      </c>
      <c r="M1309" s="24" t="str">
        <f t="shared" si="20"/>
        <v>XWOPBA23</v>
      </c>
    </row>
    <row r="1310" spans="1:13" ht="11.4" customHeight="1">
      <c r="A1310" s="37" t="s">
        <v>2426</v>
      </c>
      <c r="B1310" s="24" t="s">
        <v>2092</v>
      </c>
      <c r="C1310" s="24">
        <v>0.5</v>
      </c>
      <c r="D1310" s="24">
        <v>1265</v>
      </c>
      <c r="E1310" s="24">
        <v>3100</v>
      </c>
      <c r="F1310" s="30" t="s">
        <v>1252</v>
      </c>
      <c r="G1310" s="24" t="s">
        <v>1222</v>
      </c>
      <c r="H1310" s="24" t="s">
        <v>2420</v>
      </c>
      <c r="I1310" s="24" t="s">
        <v>1223</v>
      </c>
      <c r="K1310" s="24" t="s">
        <v>1224</v>
      </c>
      <c r="L1310" s="24" t="s">
        <v>1339</v>
      </c>
      <c r="M1310" s="24" t="str">
        <f t="shared" si="20"/>
        <v>XWOPBA23</v>
      </c>
    </row>
  </sheetData>
  <autoFilter ref="A1:M1310" xr:uid="{00000000-0009-0000-0000-000001000000}"/>
  <conditionalFormatting sqref="A1:A3">
    <cfRule type="duplicateValues" dxfId="373" priority="338"/>
  </conditionalFormatting>
  <conditionalFormatting sqref="A1:A597 A608:A650">
    <cfRule type="duplicateValues" dxfId="372" priority="8"/>
  </conditionalFormatting>
  <conditionalFormatting sqref="A1:A1048576">
    <cfRule type="duplicateValues" dxfId="371" priority="1"/>
    <cfRule type="duplicateValues" dxfId="370" priority="3"/>
  </conditionalFormatting>
  <conditionalFormatting sqref="A4:A5">
    <cfRule type="duplicateValues" dxfId="369" priority="337"/>
  </conditionalFormatting>
  <conditionalFormatting sqref="A6:A7">
    <cfRule type="duplicateValues" dxfId="368" priority="336"/>
  </conditionalFormatting>
  <conditionalFormatting sqref="A8">
    <cfRule type="duplicateValues" dxfId="367" priority="335"/>
  </conditionalFormatting>
  <conditionalFormatting sqref="A9">
    <cfRule type="duplicateValues" dxfId="366" priority="334"/>
  </conditionalFormatting>
  <conditionalFormatting sqref="A10">
    <cfRule type="duplicateValues" dxfId="365" priority="333"/>
  </conditionalFormatting>
  <conditionalFormatting sqref="A11">
    <cfRule type="duplicateValues" dxfId="364" priority="332"/>
  </conditionalFormatting>
  <conditionalFormatting sqref="A12">
    <cfRule type="duplicateValues" dxfId="363" priority="331"/>
  </conditionalFormatting>
  <conditionalFormatting sqref="A13:A14">
    <cfRule type="duplicateValues" dxfId="362" priority="330"/>
  </conditionalFormatting>
  <conditionalFormatting sqref="A15:A16">
    <cfRule type="duplicateValues" dxfId="361" priority="329"/>
  </conditionalFormatting>
  <conditionalFormatting sqref="A17">
    <cfRule type="duplicateValues" dxfId="360" priority="328"/>
  </conditionalFormatting>
  <conditionalFormatting sqref="A18:A19">
    <cfRule type="duplicateValues" dxfId="359" priority="327"/>
  </conditionalFormatting>
  <conditionalFormatting sqref="A20:A21">
    <cfRule type="duplicateValues" dxfId="358" priority="326"/>
  </conditionalFormatting>
  <conditionalFormatting sqref="A22">
    <cfRule type="duplicateValues" dxfId="357" priority="325"/>
  </conditionalFormatting>
  <conditionalFormatting sqref="A23">
    <cfRule type="duplicateValues" dxfId="356" priority="324"/>
  </conditionalFormatting>
  <conditionalFormatting sqref="A24:A25">
    <cfRule type="duplicateValues" dxfId="355" priority="323"/>
  </conditionalFormatting>
  <conditionalFormatting sqref="A26:A27">
    <cfRule type="duplicateValues" dxfId="354" priority="322"/>
  </conditionalFormatting>
  <conditionalFormatting sqref="A28">
    <cfRule type="duplicateValues" dxfId="353" priority="321"/>
  </conditionalFormatting>
  <conditionalFormatting sqref="A29:A30">
    <cfRule type="duplicateValues" dxfId="352" priority="320"/>
  </conditionalFormatting>
  <conditionalFormatting sqref="A31:A32">
    <cfRule type="duplicateValues" dxfId="351" priority="319"/>
  </conditionalFormatting>
  <conditionalFormatting sqref="A33">
    <cfRule type="duplicateValues" dxfId="350" priority="318"/>
  </conditionalFormatting>
  <conditionalFormatting sqref="A34:A35">
    <cfRule type="duplicateValues" dxfId="349" priority="317"/>
  </conditionalFormatting>
  <conditionalFormatting sqref="A36">
    <cfRule type="duplicateValues" dxfId="348" priority="316"/>
  </conditionalFormatting>
  <conditionalFormatting sqref="A37">
    <cfRule type="duplicateValues" dxfId="347" priority="315"/>
  </conditionalFormatting>
  <conditionalFormatting sqref="A38:A39">
    <cfRule type="duplicateValues" dxfId="346" priority="314"/>
  </conditionalFormatting>
  <conditionalFormatting sqref="A40">
    <cfRule type="duplicateValues" dxfId="345" priority="313"/>
  </conditionalFormatting>
  <conditionalFormatting sqref="A41:A42">
    <cfRule type="duplicateValues" dxfId="344" priority="312"/>
  </conditionalFormatting>
  <conditionalFormatting sqref="A43">
    <cfRule type="duplicateValues" dxfId="343" priority="311"/>
  </conditionalFormatting>
  <conditionalFormatting sqref="A44">
    <cfRule type="duplicateValues" dxfId="342" priority="310"/>
  </conditionalFormatting>
  <conditionalFormatting sqref="A45">
    <cfRule type="duplicateValues" dxfId="341" priority="309"/>
  </conditionalFormatting>
  <conditionalFormatting sqref="A46:A47">
    <cfRule type="duplicateValues" dxfId="340" priority="308"/>
  </conditionalFormatting>
  <conditionalFormatting sqref="A48:A49">
    <cfRule type="duplicateValues" dxfId="339" priority="307"/>
  </conditionalFormatting>
  <conditionalFormatting sqref="A50">
    <cfRule type="duplicateValues" dxfId="338" priority="306"/>
  </conditionalFormatting>
  <conditionalFormatting sqref="A51">
    <cfRule type="duplicateValues" dxfId="337" priority="305"/>
  </conditionalFormatting>
  <conditionalFormatting sqref="A52">
    <cfRule type="duplicateValues" dxfId="336" priority="304"/>
  </conditionalFormatting>
  <conditionalFormatting sqref="A53:A54">
    <cfRule type="duplicateValues" dxfId="335" priority="303"/>
  </conditionalFormatting>
  <conditionalFormatting sqref="A55">
    <cfRule type="duplicateValues" dxfId="334" priority="302"/>
  </conditionalFormatting>
  <conditionalFormatting sqref="A56:A57">
    <cfRule type="duplicateValues" dxfId="333" priority="301"/>
  </conditionalFormatting>
  <conditionalFormatting sqref="A58:A59">
    <cfRule type="duplicateValues" dxfId="332" priority="300"/>
  </conditionalFormatting>
  <conditionalFormatting sqref="A60:A61">
    <cfRule type="duplicateValues" dxfId="331" priority="299"/>
  </conditionalFormatting>
  <conditionalFormatting sqref="A62:A63">
    <cfRule type="duplicateValues" dxfId="330" priority="298"/>
  </conditionalFormatting>
  <conditionalFormatting sqref="A64:A65">
    <cfRule type="duplicateValues" dxfId="329" priority="297"/>
  </conditionalFormatting>
  <conditionalFormatting sqref="A66:A67">
    <cfRule type="duplicateValues" dxfId="328" priority="296"/>
  </conditionalFormatting>
  <conditionalFormatting sqref="A68">
    <cfRule type="duplicateValues" dxfId="327" priority="295"/>
  </conditionalFormatting>
  <conditionalFormatting sqref="A69:A70">
    <cfRule type="duplicateValues" dxfId="326" priority="294"/>
  </conditionalFormatting>
  <conditionalFormatting sqref="A71:A72">
    <cfRule type="duplicateValues" dxfId="325" priority="293"/>
  </conditionalFormatting>
  <conditionalFormatting sqref="A73:A74">
    <cfRule type="duplicateValues" dxfId="324" priority="292"/>
  </conditionalFormatting>
  <conditionalFormatting sqref="A75:A76">
    <cfRule type="duplicateValues" dxfId="323" priority="291"/>
  </conditionalFormatting>
  <conditionalFormatting sqref="A77">
    <cfRule type="duplicateValues" dxfId="322" priority="290"/>
  </conditionalFormatting>
  <conditionalFormatting sqref="A78:A79">
    <cfRule type="duplicateValues" dxfId="321" priority="289"/>
  </conditionalFormatting>
  <conditionalFormatting sqref="A80:A81">
    <cfRule type="duplicateValues" dxfId="320" priority="288"/>
  </conditionalFormatting>
  <conditionalFormatting sqref="A82">
    <cfRule type="duplicateValues" dxfId="319" priority="287"/>
  </conditionalFormatting>
  <conditionalFormatting sqref="A83">
    <cfRule type="duplicateValues" dxfId="318" priority="286"/>
  </conditionalFormatting>
  <conditionalFormatting sqref="A84:A85">
    <cfRule type="duplicateValues" dxfId="317" priority="285"/>
  </conditionalFormatting>
  <conditionalFormatting sqref="A86:A87">
    <cfRule type="duplicateValues" dxfId="316" priority="284"/>
  </conditionalFormatting>
  <conditionalFormatting sqref="A88">
    <cfRule type="duplicateValues" dxfId="315" priority="283"/>
  </conditionalFormatting>
  <conditionalFormatting sqref="A89">
    <cfRule type="duplicateValues" dxfId="314" priority="282"/>
  </conditionalFormatting>
  <conditionalFormatting sqref="A90">
    <cfRule type="duplicateValues" dxfId="313" priority="281"/>
  </conditionalFormatting>
  <conditionalFormatting sqref="A91">
    <cfRule type="duplicateValues" dxfId="312" priority="280"/>
  </conditionalFormatting>
  <conditionalFormatting sqref="A92:A93">
    <cfRule type="duplicateValues" dxfId="311" priority="279"/>
  </conditionalFormatting>
  <conditionalFormatting sqref="A94:A95">
    <cfRule type="duplicateValues" dxfId="310" priority="278"/>
  </conditionalFormatting>
  <conditionalFormatting sqref="A96">
    <cfRule type="duplicateValues" dxfId="309" priority="277"/>
  </conditionalFormatting>
  <conditionalFormatting sqref="A97">
    <cfRule type="duplicateValues" dxfId="308" priority="276"/>
  </conditionalFormatting>
  <conditionalFormatting sqref="A98">
    <cfRule type="duplicateValues" dxfId="307" priority="275"/>
  </conditionalFormatting>
  <conditionalFormatting sqref="A99">
    <cfRule type="duplicateValues" dxfId="306" priority="274"/>
  </conditionalFormatting>
  <conditionalFormatting sqref="A100:A101">
    <cfRule type="duplicateValues" dxfId="305" priority="273"/>
  </conditionalFormatting>
  <conditionalFormatting sqref="A102:A103">
    <cfRule type="duplicateValues" dxfId="304" priority="272"/>
  </conditionalFormatting>
  <conditionalFormatting sqref="A104:A105">
    <cfRule type="duplicateValues" dxfId="303" priority="271"/>
  </conditionalFormatting>
  <conditionalFormatting sqref="A106">
    <cfRule type="duplicateValues" dxfId="302" priority="270"/>
  </conditionalFormatting>
  <conditionalFormatting sqref="A107:A108">
    <cfRule type="duplicateValues" dxfId="301" priority="269"/>
  </conditionalFormatting>
  <conditionalFormatting sqref="A109:A110">
    <cfRule type="duplicateValues" dxfId="300" priority="268"/>
  </conditionalFormatting>
  <conditionalFormatting sqref="A111:A112">
    <cfRule type="duplicateValues" dxfId="299" priority="267"/>
  </conditionalFormatting>
  <conditionalFormatting sqref="A113:A114">
    <cfRule type="duplicateValues" dxfId="298" priority="266"/>
  </conditionalFormatting>
  <conditionalFormatting sqref="A115">
    <cfRule type="duplicateValues" dxfId="297" priority="265"/>
  </conditionalFormatting>
  <conditionalFormatting sqref="A116">
    <cfRule type="duplicateValues" dxfId="296" priority="264"/>
  </conditionalFormatting>
  <conditionalFormatting sqref="A117">
    <cfRule type="duplicateValues" dxfId="295" priority="263"/>
  </conditionalFormatting>
  <conditionalFormatting sqref="A118">
    <cfRule type="duplicateValues" dxfId="294" priority="262"/>
  </conditionalFormatting>
  <conditionalFormatting sqref="A119">
    <cfRule type="duplicateValues" dxfId="293" priority="261"/>
  </conditionalFormatting>
  <conditionalFormatting sqref="A120">
    <cfRule type="duplicateValues" dxfId="292" priority="260"/>
  </conditionalFormatting>
  <conditionalFormatting sqref="A121:A122">
    <cfRule type="duplicateValues" dxfId="291" priority="259"/>
  </conditionalFormatting>
  <conditionalFormatting sqref="A123:A124">
    <cfRule type="duplicateValues" dxfId="290" priority="258"/>
  </conditionalFormatting>
  <conditionalFormatting sqref="A125:A126">
    <cfRule type="duplicateValues" dxfId="289" priority="257"/>
  </conditionalFormatting>
  <conditionalFormatting sqref="A127:A128">
    <cfRule type="duplicateValues" dxfId="288" priority="256"/>
  </conditionalFormatting>
  <conditionalFormatting sqref="A129">
    <cfRule type="duplicateValues" dxfId="287" priority="255"/>
  </conditionalFormatting>
  <conditionalFormatting sqref="A130:A131">
    <cfRule type="duplicateValues" dxfId="286" priority="254"/>
  </conditionalFormatting>
  <conditionalFormatting sqref="A132">
    <cfRule type="duplicateValues" dxfId="285" priority="253"/>
  </conditionalFormatting>
  <conditionalFormatting sqref="A133:A134">
    <cfRule type="duplicateValues" dxfId="284" priority="252"/>
  </conditionalFormatting>
  <conditionalFormatting sqref="A135:A136">
    <cfRule type="duplicateValues" dxfId="283" priority="251"/>
  </conditionalFormatting>
  <conditionalFormatting sqref="A137">
    <cfRule type="duplicateValues" dxfId="282" priority="250"/>
  </conditionalFormatting>
  <conditionalFormatting sqref="A138:A139">
    <cfRule type="duplicateValues" dxfId="281" priority="249"/>
  </conditionalFormatting>
  <conditionalFormatting sqref="A140:A141">
    <cfRule type="duplicateValues" dxfId="280" priority="248"/>
  </conditionalFormatting>
  <conditionalFormatting sqref="A142">
    <cfRule type="duplicateValues" dxfId="279" priority="247"/>
  </conditionalFormatting>
  <conditionalFormatting sqref="A143:A144">
    <cfRule type="duplicateValues" dxfId="278" priority="246"/>
  </conditionalFormatting>
  <conditionalFormatting sqref="A145:A146">
    <cfRule type="duplicateValues" dxfId="277" priority="245"/>
  </conditionalFormatting>
  <conditionalFormatting sqref="A147:A148">
    <cfRule type="duplicateValues" dxfId="276" priority="244"/>
  </conditionalFormatting>
  <conditionalFormatting sqref="A149:A150">
    <cfRule type="duplicateValues" dxfId="275" priority="243"/>
  </conditionalFormatting>
  <conditionalFormatting sqref="A151:A152">
    <cfRule type="duplicateValues" dxfId="274" priority="242"/>
  </conditionalFormatting>
  <conditionalFormatting sqref="A153">
    <cfRule type="duplicateValues" dxfId="273" priority="241"/>
  </conditionalFormatting>
  <conditionalFormatting sqref="A154:A155">
    <cfRule type="duplicateValues" dxfId="272" priority="2"/>
  </conditionalFormatting>
  <conditionalFormatting sqref="A156">
    <cfRule type="duplicateValues" dxfId="271" priority="240"/>
  </conditionalFormatting>
  <conditionalFormatting sqref="A157">
    <cfRule type="duplicateValues" dxfId="270" priority="239"/>
  </conditionalFormatting>
  <conditionalFormatting sqref="A158">
    <cfRule type="duplicateValues" dxfId="269" priority="238"/>
  </conditionalFormatting>
  <conditionalFormatting sqref="A159">
    <cfRule type="duplicateValues" dxfId="268" priority="237"/>
  </conditionalFormatting>
  <conditionalFormatting sqref="A160">
    <cfRule type="duplicateValues" dxfId="267" priority="236"/>
  </conditionalFormatting>
  <conditionalFormatting sqref="A161">
    <cfRule type="duplicateValues" dxfId="266" priority="235"/>
  </conditionalFormatting>
  <conditionalFormatting sqref="A162">
    <cfRule type="duplicateValues" dxfId="265" priority="234"/>
  </conditionalFormatting>
  <conditionalFormatting sqref="A163:A164">
    <cfRule type="duplicateValues" dxfId="264" priority="233"/>
  </conditionalFormatting>
  <conditionalFormatting sqref="A165">
    <cfRule type="duplicateValues" dxfId="263" priority="232"/>
  </conditionalFormatting>
  <conditionalFormatting sqref="A166">
    <cfRule type="duplicateValues" dxfId="262" priority="231"/>
  </conditionalFormatting>
  <conditionalFormatting sqref="A167">
    <cfRule type="duplicateValues" dxfId="261" priority="230"/>
  </conditionalFormatting>
  <conditionalFormatting sqref="A168:A169">
    <cfRule type="duplicateValues" dxfId="260" priority="229"/>
  </conditionalFormatting>
  <conditionalFormatting sqref="A170:A171">
    <cfRule type="duplicateValues" dxfId="259" priority="228"/>
  </conditionalFormatting>
  <conditionalFormatting sqref="A172:A173">
    <cfRule type="duplicateValues" dxfId="258" priority="227"/>
  </conditionalFormatting>
  <conditionalFormatting sqref="A174:A175">
    <cfRule type="duplicateValues" dxfId="257" priority="226"/>
  </conditionalFormatting>
  <conditionalFormatting sqref="A176:A177">
    <cfRule type="duplicateValues" dxfId="256" priority="225"/>
  </conditionalFormatting>
  <conditionalFormatting sqref="A178:A179">
    <cfRule type="duplicateValues" dxfId="255" priority="224"/>
  </conditionalFormatting>
  <conditionalFormatting sqref="A180:A181">
    <cfRule type="duplicateValues" dxfId="254" priority="223"/>
  </conditionalFormatting>
  <conditionalFormatting sqref="A182:A183">
    <cfRule type="duplicateValues" dxfId="253" priority="222"/>
  </conditionalFormatting>
  <conditionalFormatting sqref="A184:A185">
    <cfRule type="duplicateValues" dxfId="252" priority="221"/>
  </conditionalFormatting>
  <conditionalFormatting sqref="A186:A187">
    <cfRule type="duplicateValues" dxfId="251" priority="220"/>
  </conditionalFormatting>
  <conditionalFormatting sqref="A188:A189">
    <cfRule type="duplicateValues" dxfId="250" priority="219"/>
  </conditionalFormatting>
  <conditionalFormatting sqref="A190:A191">
    <cfRule type="duplicateValues" dxfId="249" priority="218"/>
  </conditionalFormatting>
  <conditionalFormatting sqref="A192">
    <cfRule type="duplicateValues" dxfId="248" priority="217"/>
  </conditionalFormatting>
  <conditionalFormatting sqref="A193">
    <cfRule type="duplicateValues" dxfId="247" priority="216"/>
  </conditionalFormatting>
  <conditionalFormatting sqref="A194:A195">
    <cfRule type="duplicateValues" dxfId="246" priority="215"/>
  </conditionalFormatting>
  <conditionalFormatting sqref="A196:A197">
    <cfRule type="duplicateValues" dxfId="245" priority="214"/>
  </conditionalFormatting>
  <conditionalFormatting sqref="A198:A199">
    <cfRule type="duplicateValues" dxfId="244" priority="213"/>
  </conditionalFormatting>
  <conditionalFormatting sqref="A200:A201">
    <cfRule type="duplicateValues" dxfId="243" priority="212"/>
  </conditionalFormatting>
  <conditionalFormatting sqref="A202">
    <cfRule type="duplicateValues" dxfId="242" priority="211"/>
  </conditionalFormatting>
  <conditionalFormatting sqref="A203">
    <cfRule type="duplicateValues" dxfId="241" priority="210"/>
  </conditionalFormatting>
  <conditionalFormatting sqref="A204">
    <cfRule type="duplicateValues" dxfId="240" priority="209"/>
  </conditionalFormatting>
  <conditionalFormatting sqref="A205">
    <cfRule type="duplicateValues" dxfId="239" priority="208"/>
  </conditionalFormatting>
  <conditionalFormatting sqref="A206:A207">
    <cfRule type="duplicateValues" dxfId="238" priority="207"/>
  </conditionalFormatting>
  <conditionalFormatting sqref="A208:A209">
    <cfRule type="duplicateValues" dxfId="237" priority="206"/>
  </conditionalFormatting>
  <conditionalFormatting sqref="A210:A211">
    <cfRule type="duplicateValues" dxfId="236" priority="205"/>
  </conditionalFormatting>
  <conditionalFormatting sqref="A212:A213">
    <cfRule type="duplicateValues" dxfId="235" priority="204"/>
  </conditionalFormatting>
  <conditionalFormatting sqref="A214:A215">
    <cfRule type="duplicateValues" dxfId="234" priority="203"/>
  </conditionalFormatting>
  <conditionalFormatting sqref="A216:A217">
    <cfRule type="duplicateValues" dxfId="233" priority="202"/>
  </conditionalFormatting>
  <conditionalFormatting sqref="A218:A219">
    <cfRule type="duplicateValues" dxfId="232" priority="201"/>
  </conditionalFormatting>
  <conditionalFormatting sqref="A220:A221">
    <cfRule type="duplicateValues" dxfId="231" priority="200"/>
  </conditionalFormatting>
  <conditionalFormatting sqref="A222:A223">
    <cfRule type="duplicateValues" dxfId="230" priority="199"/>
  </conditionalFormatting>
  <conditionalFormatting sqref="A224:A225">
    <cfRule type="duplicateValues" dxfId="229" priority="198"/>
  </conditionalFormatting>
  <conditionalFormatting sqref="A226">
    <cfRule type="duplicateValues" dxfId="228" priority="197"/>
  </conditionalFormatting>
  <conditionalFormatting sqref="A227:A228">
    <cfRule type="duplicateValues" dxfId="227" priority="196"/>
  </conditionalFormatting>
  <conditionalFormatting sqref="A229">
    <cfRule type="duplicateValues" dxfId="226" priority="195"/>
  </conditionalFormatting>
  <conditionalFormatting sqref="A230">
    <cfRule type="duplicateValues" dxfId="225" priority="194"/>
  </conditionalFormatting>
  <conditionalFormatting sqref="A231">
    <cfRule type="duplicateValues" dxfId="224" priority="193"/>
  </conditionalFormatting>
  <conditionalFormatting sqref="A232">
    <cfRule type="duplicateValues" dxfId="223" priority="192"/>
  </conditionalFormatting>
  <conditionalFormatting sqref="A233:A234">
    <cfRule type="duplicateValues" dxfId="222" priority="191"/>
  </conditionalFormatting>
  <conditionalFormatting sqref="A235:A236">
    <cfRule type="duplicateValues" dxfId="221" priority="190"/>
  </conditionalFormatting>
  <conditionalFormatting sqref="A237">
    <cfRule type="duplicateValues" dxfId="220" priority="189"/>
  </conditionalFormatting>
  <conditionalFormatting sqref="A238:A239">
    <cfRule type="duplicateValues" dxfId="219" priority="188"/>
  </conditionalFormatting>
  <conditionalFormatting sqref="A240:A241">
    <cfRule type="duplicateValues" dxfId="218" priority="187"/>
  </conditionalFormatting>
  <conditionalFormatting sqref="A242">
    <cfRule type="duplicateValues" dxfId="217" priority="186"/>
  </conditionalFormatting>
  <conditionalFormatting sqref="A243:A244">
    <cfRule type="duplicateValues" dxfId="216" priority="185"/>
  </conditionalFormatting>
  <conditionalFormatting sqref="A245:A246">
    <cfRule type="duplicateValues" dxfId="215" priority="184"/>
  </conditionalFormatting>
  <conditionalFormatting sqref="A247">
    <cfRule type="duplicateValues" dxfId="214" priority="183"/>
  </conditionalFormatting>
  <conditionalFormatting sqref="A248">
    <cfRule type="duplicateValues" dxfId="213" priority="182"/>
  </conditionalFormatting>
  <conditionalFormatting sqref="A249:A250">
    <cfRule type="duplicateValues" dxfId="212" priority="181"/>
  </conditionalFormatting>
  <conditionalFormatting sqref="A251:A252">
    <cfRule type="duplicateValues" dxfId="211" priority="180"/>
  </conditionalFormatting>
  <conditionalFormatting sqref="A253">
    <cfRule type="duplicateValues" dxfId="210" priority="179"/>
  </conditionalFormatting>
  <conditionalFormatting sqref="A254:A255">
    <cfRule type="duplicateValues" dxfId="209" priority="178"/>
  </conditionalFormatting>
  <conditionalFormatting sqref="A256">
    <cfRule type="duplicateValues" dxfId="208" priority="177"/>
  </conditionalFormatting>
  <conditionalFormatting sqref="A257:A258">
    <cfRule type="duplicateValues" dxfId="207" priority="176"/>
  </conditionalFormatting>
  <conditionalFormatting sqref="A259:A260">
    <cfRule type="duplicateValues" dxfId="206" priority="175"/>
  </conditionalFormatting>
  <conditionalFormatting sqref="A261:A262">
    <cfRule type="duplicateValues" dxfId="205" priority="174"/>
  </conditionalFormatting>
  <conditionalFormatting sqref="A263:A264">
    <cfRule type="duplicateValues" dxfId="204" priority="173"/>
  </conditionalFormatting>
  <conditionalFormatting sqref="A265:A266">
    <cfRule type="duplicateValues" dxfId="203" priority="172"/>
  </conditionalFormatting>
  <conditionalFormatting sqref="A267">
    <cfRule type="duplicateValues" dxfId="202" priority="171"/>
  </conditionalFormatting>
  <conditionalFormatting sqref="A268">
    <cfRule type="duplicateValues" dxfId="201" priority="170"/>
  </conditionalFormatting>
  <conditionalFormatting sqref="A269">
    <cfRule type="duplicateValues" dxfId="200" priority="169"/>
  </conditionalFormatting>
  <conditionalFormatting sqref="A270">
    <cfRule type="duplicateValues" dxfId="199" priority="168"/>
  </conditionalFormatting>
  <conditionalFormatting sqref="A271">
    <cfRule type="duplicateValues" dxfId="198" priority="167"/>
  </conditionalFormatting>
  <conditionalFormatting sqref="A272">
    <cfRule type="duplicateValues" dxfId="197" priority="166"/>
  </conditionalFormatting>
  <conditionalFormatting sqref="A273">
    <cfRule type="duplicateValues" dxfId="196" priority="165"/>
  </conditionalFormatting>
  <conditionalFormatting sqref="A274">
    <cfRule type="duplicateValues" dxfId="195" priority="164"/>
  </conditionalFormatting>
  <conditionalFormatting sqref="A275">
    <cfRule type="duplicateValues" dxfId="194" priority="163"/>
  </conditionalFormatting>
  <conditionalFormatting sqref="A276">
    <cfRule type="duplicateValues" dxfId="193" priority="162"/>
  </conditionalFormatting>
  <conditionalFormatting sqref="A277:A278">
    <cfRule type="duplicateValues" dxfId="192" priority="161"/>
  </conditionalFormatting>
  <conditionalFormatting sqref="A279:A280">
    <cfRule type="duplicateValues" dxfId="191" priority="160"/>
  </conditionalFormatting>
  <conditionalFormatting sqref="A281:A282">
    <cfRule type="duplicateValues" dxfId="190" priority="159"/>
  </conditionalFormatting>
  <conditionalFormatting sqref="A283:A284">
    <cfRule type="duplicateValues" dxfId="189" priority="158"/>
  </conditionalFormatting>
  <conditionalFormatting sqref="A285:A286">
    <cfRule type="duplicateValues" dxfId="188" priority="157"/>
  </conditionalFormatting>
  <conditionalFormatting sqref="A287:A288">
    <cfRule type="duplicateValues" dxfId="187" priority="156"/>
  </conditionalFormatting>
  <conditionalFormatting sqref="A289:A290">
    <cfRule type="duplicateValues" dxfId="186" priority="155"/>
  </conditionalFormatting>
  <conditionalFormatting sqref="A291:A292">
    <cfRule type="duplicateValues" dxfId="185" priority="154"/>
  </conditionalFormatting>
  <conditionalFormatting sqref="A293:A294">
    <cfRule type="duplicateValues" dxfId="184" priority="153"/>
  </conditionalFormatting>
  <conditionalFormatting sqref="A295:A296">
    <cfRule type="duplicateValues" dxfId="183" priority="152"/>
  </conditionalFormatting>
  <conditionalFormatting sqref="A297:A298">
    <cfRule type="duplicateValues" dxfId="182" priority="151"/>
  </conditionalFormatting>
  <conditionalFormatting sqref="A299:A300">
    <cfRule type="duplicateValues" dxfId="181" priority="150"/>
  </conditionalFormatting>
  <conditionalFormatting sqref="A301:A302">
    <cfRule type="duplicateValues" dxfId="180" priority="149"/>
  </conditionalFormatting>
  <conditionalFormatting sqref="A303:A304">
    <cfRule type="duplicateValues" dxfId="179" priority="148"/>
  </conditionalFormatting>
  <conditionalFormatting sqref="A305:A306">
    <cfRule type="duplicateValues" dxfId="178" priority="147"/>
  </conditionalFormatting>
  <conditionalFormatting sqref="A307">
    <cfRule type="duplicateValues" dxfId="177" priority="146"/>
  </conditionalFormatting>
  <conditionalFormatting sqref="A308:A309">
    <cfRule type="duplicateValues" dxfId="176" priority="145"/>
  </conditionalFormatting>
  <conditionalFormatting sqref="A310:A311">
    <cfRule type="duplicateValues" dxfId="175" priority="144"/>
  </conditionalFormatting>
  <conditionalFormatting sqref="A312:A313">
    <cfRule type="duplicateValues" dxfId="174" priority="143"/>
  </conditionalFormatting>
  <conditionalFormatting sqref="A314:A315">
    <cfRule type="duplicateValues" dxfId="173" priority="142"/>
  </conditionalFormatting>
  <conditionalFormatting sqref="A316:A317">
    <cfRule type="duplicateValues" dxfId="172" priority="141"/>
  </conditionalFormatting>
  <conditionalFormatting sqref="A318:A319">
    <cfRule type="duplicateValues" dxfId="171" priority="140"/>
  </conditionalFormatting>
  <conditionalFormatting sqref="A320:A321">
    <cfRule type="duplicateValues" dxfId="170" priority="139"/>
  </conditionalFormatting>
  <conditionalFormatting sqref="A322:A323">
    <cfRule type="duplicateValues" dxfId="169" priority="138"/>
  </conditionalFormatting>
  <conditionalFormatting sqref="A324:A325">
    <cfRule type="duplicateValues" dxfId="168" priority="137"/>
  </conditionalFormatting>
  <conditionalFormatting sqref="A326:A327">
    <cfRule type="duplicateValues" dxfId="167" priority="136"/>
  </conditionalFormatting>
  <conditionalFormatting sqref="A328">
    <cfRule type="duplicateValues" dxfId="166" priority="135"/>
  </conditionalFormatting>
  <conditionalFormatting sqref="A329:A330">
    <cfRule type="duplicateValues" dxfId="165" priority="134"/>
  </conditionalFormatting>
  <conditionalFormatting sqref="A331:A332">
    <cfRule type="duplicateValues" dxfId="164" priority="133"/>
  </conditionalFormatting>
  <conditionalFormatting sqref="A333:A334">
    <cfRule type="duplicateValues" dxfId="163" priority="132"/>
  </conditionalFormatting>
  <conditionalFormatting sqref="A335">
    <cfRule type="duplicateValues" dxfId="162" priority="131"/>
  </conditionalFormatting>
  <conditionalFormatting sqref="A336:A337">
    <cfRule type="duplicateValues" dxfId="161" priority="130"/>
  </conditionalFormatting>
  <conditionalFormatting sqref="A338">
    <cfRule type="duplicateValues" dxfId="160" priority="129"/>
  </conditionalFormatting>
  <conditionalFormatting sqref="A339:A340">
    <cfRule type="duplicateValues" dxfId="159" priority="128"/>
  </conditionalFormatting>
  <conditionalFormatting sqref="A341:A342">
    <cfRule type="duplicateValues" dxfId="158" priority="127"/>
  </conditionalFormatting>
  <conditionalFormatting sqref="A343:A344">
    <cfRule type="duplicateValues" dxfId="157" priority="126"/>
  </conditionalFormatting>
  <conditionalFormatting sqref="A345:A346">
    <cfRule type="duplicateValues" dxfId="156" priority="125"/>
  </conditionalFormatting>
  <conditionalFormatting sqref="A347:A348">
    <cfRule type="duplicateValues" dxfId="155" priority="124"/>
  </conditionalFormatting>
  <conditionalFormatting sqref="A349:A350">
    <cfRule type="duplicateValues" dxfId="154" priority="123"/>
  </conditionalFormatting>
  <conditionalFormatting sqref="A351:A352">
    <cfRule type="duplicateValues" dxfId="153" priority="122"/>
  </conditionalFormatting>
  <conditionalFormatting sqref="A353">
    <cfRule type="duplicateValues" dxfId="152" priority="121"/>
  </conditionalFormatting>
  <conditionalFormatting sqref="A354:A355">
    <cfRule type="duplicateValues" dxfId="151" priority="120"/>
  </conditionalFormatting>
  <conditionalFormatting sqref="A356:A357">
    <cfRule type="duplicateValues" dxfId="150" priority="119"/>
  </conditionalFormatting>
  <conditionalFormatting sqref="A358:A359">
    <cfRule type="duplicateValues" dxfId="149" priority="118"/>
  </conditionalFormatting>
  <conditionalFormatting sqref="A360:A361">
    <cfRule type="duplicateValues" dxfId="148" priority="117"/>
  </conditionalFormatting>
  <conditionalFormatting sqref="A362:A363">
    <cfRule type="duplicateValues" dxfId="147" priority="116"/>
  </conditionalFormatting>
  <conditionalFormatting sqref="A364">
    <cfRule type="duplicateValues" dxfId="146" priority="115"/>
  </conditionalFormatting>
  <conditionalFormatting sqref="A365">
    <cfRule type="duplicateValues" dxfId="145" priority="114"/>
  </conditionalFormatting>
  <conditionalFormatting sqref="A366">
    <cfRule type="duplicateValues" dxfId="144" priority="113"/>
  </conditionalFormatting>
  <conditionalFormatting sqref="A367">
    <cfRule type="duplicateValues" dxfId="143" priority="112"/>
  </conditionalFormatting>
  <conditionalFormatting sqref="A368:A369">
    <cfRule type="duplicateValues" dxfId="142" priority="111"/>
  </conditionalFormatting>
  <conditionalFormatting sqref="A370:A371">
    <cfRule type="duplicateValues" dxfId="141" priority="110"/>
  </conditionalFormatting>
  <conditionalFormatting sqref="A372:A373">
    <cfRule type="duplicateValues" dxfId="140" priority="109"/>
  </conditionalFormatting>
  <conditionalFormatting sqref="A374:A375">
    <cfRule type="duplicateValues" dxfId="139" priority="108"/>
  </conditionalFormatting>
  <conditionalFormatting sqref="A376:A377">
    <cfRule type="duplicateValues" dxfId="138" priority="107"/>
  </conditionalFormatting>
  <conditionalFormatting sqref="A378:A379">
    <cfRule type="duplicateValues" dxfId="137" priority="106"/>
  </conditionalFormatting>
  <conditionalFormatting sqref="A380:A381">
    <cfRule type="duplicateValues" dxfId="136" priority="105"/>
  </conditionalFormatting>
  <conditionalFormatting sqref="A382:A383">
    <cfRule type="duplicateValues" dxfId="135" priority="104"/>
  </conditionalFormatting>
  <conditionalFormatting sqref="A384:A385">
    <cfRule type="duplicateValues" dxfId="134" priority="103"/>
  </conditionalFormatting>
  <conditionalFormatting sqref="A386:A387">
    <cfRule type="duplicateValues" dxfId="133" priority="102"/>
  </conditionalFormatting>
  <conditionalFormatting sqref="A388:A389">
    <cfRule type="duplicateValues" dxfId="132" priority="101"/>
  </conditionalFormatting>
  <conditionalFormatting sqref="A390:A391">
    <cfRule type="duplicateValues" dxfId="131" priority="100"/>
  </conditionalFormatting>
  <conditionalFormatting sqref="A392:A393">
    <cfRule type="duplicateValues" dxfId="130" priority="99"/>
  </conditionalFormatting>
  <conditionalFormatting sqref="A394:A395">
    <cfRule type="duplicateValues" dxfId="129" priority="98"/>
  </conditionalFormatting>
  <conditionalFormatting sqref="A396:A397">
    <cfRule type="duplicateValues" dxfId="128" priority="97"/>
  </conditionalFormatting>
  <conditionalFormatting sqref="A398:A399">
    <cfRule type="duplicateValues" dxfId="127" priority="96"/>
  </conditionalFormatting>
  <conditionalFormatting sqref="A400:A401">
    <cfRule type="duplicateValues" dxfId="126" priority="95"/>
  </conditionalFormatting>
  <conditionalFormatting sqref="A402:A403">
    <cfRule type="duplicateValues" dxfId="125" priority="94"/>
  </conditionalFormatting>
  <conditionalFormatting sqref="A404:A405">
    <cfRule type="duplicateValues" dxfId="124" priority="93"/>
  </conditionalFormatting>
  <conditionalFormatting sqref="A406:A407">
    <cfRule type="duplicateValues" dxfId="123" priority="92"/>
  </conditionalFormatting>
  <conditionalFormatting sqref="A408:A409">
    <cfRule type="duplicateValues" dxfId="122" priority="91"/>
  </conditionalFormatting>
  <conditionalFormatting sqref="A410">
    <cfRule type="duplicateValues" dxfId="121" priority="90"/>
  </conditionalFormatting>
  <conditionalFormatting sqref="A411:A412">
    <cfRule type="duplicateValues" dxfId="120" priority="89"/>
  </conditionalFormatting>
  <conditionalFormatting sqref="A413">
    <cfRule type="duplicateValues" dxfId="119" priority="88"/>
  </conditionalFormatting>
  <conditionalFormatting sqref="A414:A415">
    <cfRule type="duplicateValues" dxfId="118" priority="87"/>
  </conditionalFormatting>
  <conditionalFormatting sqref="A416">
    <cfRule type="duplicateValues" dxfId="117" priority="86"/>
  </conditionalFormatting>
  <conditionalFormatting sqref="A417:A418">
    <cfRule type="duplicateValues" dxfId="116" priority="85"/>
  </conditionalFormatting>
  <conditionalFormatting sqref="A419:A420">
    <cfRule type="duplicateValues" dxfId="115" priority="84"/>
  </conditionalFormatting>
  <conditionalFormatting sqref="A421">
    <cfRule type="duplicateValues" dxfId="114" priority="83"/>
  </conditionalFormatting>
  <conditionalFormatting sqref="A422">
    <cfRule type="duplicateValues" dxfId="113" priority="82"/>
  </conditionalFormatting>
  <conditionalFormatting sqref="A423:A424">
    <cfRule type="duplicateValues" dxfId="112" priority="81"/>
  </conditionalFormatting>
  <conditionalFormatting sqref="A425:A426">
    <cfRule type="duplicateValues" dxfId="111" priority="80"/>
  </conditionalFormatting>
  <conditionalFormatting sqref="A427">
    <cfRule type="duplicateValues" dxfId="110" priority="79"/>
  </conditionalFormatting>
  <conditionalFormatting sqref="A428">
    <cfRule type="duplicateValues" dxfId="109" priority="78"/>
  </conditionalFormatting>
  <conditionalFormatting sqref="A429:A430">
    <cfRule type="duplicateValues" dxfId="108" priority="77"/>
  </conditionalFormatting>
  <conditionalFormatting sqref="A431:A432">
    <cfRule type="duplicateValues" dxfId="107" priority="76"/>
  </conditionalFormatting>
  <conditionalFormatting sqref="A433">
    <cfRule type="duplicateValues" dxfId="106" priority="75"/>
  </conditionalFormatting>
  <conditionalFormatting sqref="A434">
    <cfRule type="duplicateValues" dxfId="105" priority="74"/>
  </conditionalFormatting>
  <conditionalFormatting sqref="A435">
    <cfRule type="duplicateValues" dxfId="104" priority="73"/>
  </conditionalFormatting>
  <conditionalFormatting sqref="A436">
    <cfRule type="duplicateValues" dxfId="103" priority="72"/>
  </conditionalFormatting>
  <conditionalFormatting sqref="A437">
    <cfRule type="duplicateValues" dxfId="102" priority="71"/>
  </conditionalFormatting>
  <conditionalFormatting sqref="A438:A439">
    <cfRule type="duplicateValues" dxfId="101" priority="70"/>
  </conditionalFormatting>
  <conditionalFormatting sqref="A440:A441">
    <cfRule type="duplicateValues" dxfId="100" priority="69"/>
  </conditionalFormatting>
  <conditionalFormatting sqref="A442:A443">
    <cfRule type="duplicateValues" dxfId="99" priority="68"/>
  </conditionalFormatting>
  <conditionalFormatting sqref="A444:A445">
    <cfRule type="duplicateValues" dxfId="98" priority="67"/>
  </conditionalFormatting>
  <conditionalFormatting sqref="A446:A447">
    <cfRule type="duplicateValues" dxfId="97" priority="66"/>
  </conditionalFormatting>
  <conditionalFormatting sqref="A448">
    <cfRule type="duplicateValues" dxfId="96" priority="65"/>
  </conditionalFormatting>
  <conditionalFormatting sqref="A449:A450">
    <cfRule type="duplicateValues" dxfId="95" priority="64"/>
  </conditionalFormatting>
  <conditionalFormatting sqref="A451:A452">
    <cfRule type="duplicateValues" dxfId="94" priority="63"/>
  </conditionalFormatting>
  <conditionalFormatting sqref="A453">
    <cfRule type="duplicateValues" dxfId="93" priority="62"/>
  </conditionalFormatting>
  <conditionalFormatting sqref="A454:A455">
    <cfRule type="duplicateValues" dxfId="92" priority="61"/>
  </conditionalFormatting>
  <conditionalFormatting sqref="A456:A457">
    <cfRule type="duplicateValues" dxfId="91" priority="60"/>
  </conditionalFormatting>
  <conditionalFormatting sqref="A458:A459">
    <cfRule type="duplicateValues" dxfId="90" priority="59"/>
  </conditionalFormatting>
  <conditionalFormatting sqref="A460:A461">
    <cfRule type="duplicateValues" dxfId="89" priority="58"/>
  </conditionalFormatting>
  <conditionalFormatting sqref="A462:A463">
    <cfRule type="duplicateValues" dxfId="88" priority="57"/>
  </conditionalFormatting>
  <conditionalFormatting sqref="A464:A465">
    <cfRule type="duplicateValues" dxfId="87" priority="56"/>
  </conditionalFormatting>
  <conditionalFormatting sqref="A466:A467">
    <cfRule type="duplicateValues" dxfId="86" priority="55"/>
  </conditionalFormatting>
  <conditionalFormatting sqref="A468:A469">
    <cfRule type="duplicateValues" dxfId="85" priority="54"/>
  </conditionalFormatting>
  <conditionalFormatting sqref="A470:A471">
    <cfRule type="duplicateValues" dxfId="84" priority="53"/>
  </conditionalFormatting>
  <conditionalFormatting sqref="A472:A473">
    <cfRule type="duplicateValues" dxfId="83" priority="52"/>
  </conditionalFormatting>
  <conditionalFormatting sqref="A474:A475">
    <cfRule type="duplicateValues" dxfId="82" priority="51"/>
  </conditionalFormatting>
  <conditionalFormatting sqref="A476:A477">
    <cfRule type="duplicateValues" dxfId="81" priority="50"/>
  </conditionalFormatting>
  <conditionalFormatting sqref="A478:A479">
    <cfRule type="duplicateValues" dxfId="80" priority="49"/>
  </conditionalFormatting>
  <conditionalFormatting sqref="A480:A481">
    <cfRule type="duplicateValues" dxfId="79" priority="48"/>
  </conditionalFormatting>
  <conditionalFormatting sqref="A482:A483">
    <cfRule type="duplicateValues" dxfId="78" priority="47"/>
  </conditionalFormatting>
  <conditionalFormatting sqref="A484:A485">
    <cfRule type="duplicateValues" dxfId="77" priority="46"/>
  </conditionalFormatting>
  <conditionalFormatting sqref="A486:A487">
    <cfRule type="duplicateValues" dxfId="76" priority="45"/>
  </conditionalFormatting>
  <conditionalFormatting sqref="A488:A489">
    <cfRule type="duplicateValues" dxfId="75" priority="44"/>
  </conditionalFormatting>
  <conditionalFormatting sqref="A490:A491">
    <cfRule type="duplicateValues" dxfId="74" priority="43"/>
  </conditionalFormatting>
  <conditionalFormatting sqref="A492:A493">
    <cfRule type="duplicateValues" dxfId="73" priority="42"/>
  </conditionalFormatting>
  <conditionalFormatting sqref="A494:A495">
    <cfRule type="duplicateValues" dxfId="72" priority="41"/>
  </conditionalFormatting>
  <conditionalFormatting sqref="A496:A497">
    <cfRule type="duplicateValues" dxfId="71" priority="40"/>
  </conditionalFormatting>
  <conditionalFormatting sqref="A498:A499">
    <cfRule type="duplicateValues" dxfId="70" priority="39"/>
  </conditionalFormatting>
  <conditionalFormatting sqref="A500:A501">
    <cfRule type="duplicateValues" dxfId="69" priority="38"/>
  </conditionalFormatting>
  <conditionalFormatting sqref="A502:A503">
    <cfRule type="duplicateValues" dxfId="68" priority="37"/>
  </conditionalFormatting>
  <conditionalFormatting sqref="A504:A505">
    <cfRule type="duplicateValues" dxfId="67" priority="36"/>
  </conditionalFormatting>
  <conditionalFormatting sqref="A506:A507">
    <cfRule type="duplicateValues" dxfId="66" priority="35"/>
  </conditionalFormatting>
  <conditionalFormatting sqref="A508:A509">
    <cfRule type="duplicateValues" dxfId="65" priority="34"/>
  </conditionalFormatting>
  <conditionalFormatting sqref="A510:A511">
    <cfRule type="duplicateValues" dxfId="64" priority="33"/>
  </conditionalFormatting>
  <conditionalFormatting sqref="A512:A513">
    <cfRule type="duplicateValues" dxfId="63" priority="32"/>
  </conditionalFormatting>
  <conditionalFormatting sqref="A514:A515">
    <cfRule type="duplicateValues" dxfId="62" priority="31"/>
  </conditionalFormatting>
  <conditionalFormatting sqref="A518:A519">
    <cfRule type="duplicateValues" dxfId="61" priority="28"/>
  </conditionalFormatting>
  <conditionalFormatting sqref="A520:A521">
    <cfRule type="duplicateValues" dxfId="60" priority="27"/>
  </conditionalFormatting>
  <conditionalFormatting sqref="A522:A523">
    <cfRule type="duplicateValues" dxfId="59" priority="26"/>
  </conditionalFormatting>
  <conditionalFormatting sqref="A524:A525">
    <cfRule type="duplicateValues" dxfId="58" priority="25"/>
  </conditionalFormatting>
  <conditionalFormatting sqref="A527:A528">
    <cfRule type="duplicateValues" dxfId="57" priority="23"/>
  </conditionalFormatting>
  <conditionalFormatting sqref="A529:A530">
    <cfRule type="duplicateValues" dxfId="56" priority="22"/>
  </conditionalFormatting>
  <conditionalFormatting sqref="A531:A532">
    <cfRule type="duplicateValues" dxfId="55" priority="21"/>
  </conditionalFormatting>
  <conditionalFormatting sqref="A533:A534">
    <cfRule type="duplicateValues" dxfId="54" priority="20"/>
  </conditionalFormatting>
  <conditionalFormatting sqref="A535:A536">
    <cfRule type="duplicateValues" dxfId="53" priority="19"/>
  </conditionalFormatting>
  <conditionalFormatting sqref="A537:A538">
    <cfRule type="duplicateValues" dxfId="52" priority="18"/>
  </conditionalFormatting>
  <conditionalFormatting sqref="A539:A540">
    <cfRule type="duplicateValues" dxfId="51" priority="17"/>
  </conditionalFormatting>
  <conditionalFormatting sqref="A541:A542">
    <cfRule type="duplicateValues" dxfId="50" priority="16"/>
  </conditionalFormatting>
  <conditionalFormatting sqref="A543:A544">
    <cfRule type="duplicateValues" dxfId="49" priority="15"/>
  </conditionalFormatting>
  <conditionalFormatting sqref="A545:A546">
    <cfRule type="duplicateValues" dxfId="48" priority="14"/>
  </conditionalFormatting>
  <conditionalFormatting sqref="A547">
    <cfRule type="duplicateValues" dxfId="47" priority="13"/>
  </conditionalFormatting>
  <conditionalFormatting sqref="A548:A549">
    <cfRule type="duplicateValues" dxfId="46" priority="12"/>
  </conditionalFormatting>
  <conditionalFormatting sqref="A550:A551">
    <cfRule type="duplicateValues" dxfId="45" priority="11"/>
  </conditionalFormatting>
  <conditionalFormatting sqref="A552">
    <cfRule type="duplicateValues" dxfId="44" priority="10"/>
  </conditionalFormatting>
  <conditionalFormatting sqref="A553">
    <cfRule type="duplicateValues" dxfId="43" priority="9"/>
  </conditionalFormatting>
  <conditionalFormatting sqref="A598:A607">
    <cfRule type="duplicateValues" dxfId="42" priority="7"/>
  </conditionalFormatting>
  <conditionalFormatting sqref="A616 A516">
    <cfRule type="duplicateValues" dxfId="41" priority="30"/>
  </conditionalFormatting>
  <conditionalFormatting sqref="A618 A517">
    <cfRule type="duplicateValues" dxfId="40" priority="29"/>
  </conditionalFormatting>
  <conditionalFormatting sqref="A628 A526">
    <cfRule type="duplicateValues" dxfId="39" priority="24"/>
  </conditionalFormatting>
  <conditionalFormatting sqref="A651">
    <cfRule type="duplicateValues" dxfId="38" priority="6"/>
  </conditionalFormatting>
  <conditionalFormatting sqref="A652">
    <cfRule type="duplicateValues" dxfId="37" priority="5"/>
  </conditionalFormatting>
  <conditionalFormatting sqref="A653">
    <cfRule type="duplicateValues" dxfId="36" priority="4"/>
  </conditionalFormatting>
  <printOptions horizontalCentered="1"/>
  <pageMargins left="3.8888888888888903E-2" right="0.156944444444444" top="0.59027777777777801" bottom="0.59027777777777801" header="0.511811023622047" footer="0.31458333333333299"/>
  <pageSetup paperSize="9" scale="120" orientation="landscape" horizontalDpi="300" verticalDpi="300" r:id="rId1"/>
  <headerFooter>
    <oddFooter>&amp;C&amp;"Book Antiqua,Regular"第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2678-3D17-47F2-81B4-383E7B97585F}">
  <sheetPr>
    <tabColor rgb="FF404040"/>
  </sheetPr>
  <dimension ref="A1:M97"/>
  <sheetViews>
    <sheetView zoomScale="130" zoomScaleNormal="130" zoomScalePageLayoutView="110" workbookViewId="0">
      <pane xSplit="2" ySplit="1" topLeftCell="C48" activePane="bottomRight" state="frozen"/>
      <selection pane="topRight"/>
      <selection pane="bottomLeft"/>
      <selection pane="bottomRight" activeCell="H118" sqref="H118"/>
    </sheetView>
  </sheetViews>
  <sheetFormatPr defaultColWidth="4.6640625" defaultRowHeight="13.5" customHeight="1"/>
  <cols>
    <col min="1" max="1" width="14.109375" style="45" customWidth="1"/>
    <col min="2" max="2" width="16.5546875" style="45" customWidth="1"/>
    <col min="3" max="3" width="7.44140625" style="45" customWidth="1"/>
    <col min="4" max="4" width="8.5546875" style="45" customWidth="1"/>
    <col min="5" max="5" width="9.33203125" style="45" customWidth="1"/>
    <col min="6" max="6" width="7.88671875" style="50" customWidth="1"/>
    <col min="7" max="7" width="4.6640625" style="45" customWidth="1"/>
    <col min="8" max="8" width="14.109375" style="45" customWidth="1"/>
    <col min="9" max="9" width="7.5546875" style="45" customWidth="1"/>
    <col min="10" max="10" width="8.5546875" style="45" customWidth="1"/>
    <col min="11" max="11" width="11.44140625" style="45" customWidth="1"/>
    <col min="12" max="12" width="37.88671875" style="45" customWidth="1"/>
    <col min="13" max="13" width="40.44140625" style="45" bestFit="1" customWidth="1"/>
    <col min="14" max="16384" width="4.6640625" style="45"/>
  </cols>
  <sheetData>
    <row r="1" spans="1:13" s="42" customFormat="1" ht="27.75" customHeight="1">
      <c r="A1" s="38" t="s">
        <v>2427</v>
      </c>
      <c r="B1" s="38" t="s">
        <v>2428</v>
      </c>
      <c r="C1" s="38" t="s">
        <v>2429</v>
      </c>
      <c r="D1" s="38" t="s">
        <v>2430</v>
      </c>
      <c r="E1" s="39" t="s">
        <v>2431</v>
      </c>
      <c r="F1" s="40" t="s">
        <v>2432</v>
      </c>
      <c r="G1" s="38" t="s">
        <v>2433</v>
      </c>
      <c r="H1" s="38" t="s">
        <v>2434</v>
      </c>
      <c r="I1" s="41" t="s">
        <v>2435</v>
      </c>
      <c r="J1" s="39" t="s">
        <v>1121</v>
      </c>
      <c r="K1" s="41" t="s">
        <v>2436</v>
      </c>
      <c r="L1" s="42" t="s">
        <v>2437</v>
      </c>
    </row>
    <row r="2" spans="1:13" ht="13.2">
      <c r="A2" s="43" t="s">
        <v>2438</v>
      </c>
      <c r="B2" s="43" t="s">
        <v>2439</v>
      </c>
      <c r="C2" s="43">
        <v>0.42</v>
      </c>
      <c r="D2" s="43" t="s">
        <v>1353</v>
      </c>
      <c r="E2" s="43">
        <v>2500</v>
      </c>
      <c r="F2" s="44" t="s">
        <v>1240</v>
      </c>
      <c r="G2" s="43" t="s">
        <v>1222</v>
      </c>
      <c r="H2" s="43" t="s">
        <v>2440</v>
      </c>
      <c r="I2" s="43" t="s">
        <v>1240</v>
      </c>
      <c r="J2" s="43"/>
      <c r="K2" s="43" t="s">
        <v>1354</v>
      </c>
      <c r="L2" s="45" t="str">
        <f>B2&amp;" "&amp;C2&amp;"x"&amp;D2&amp;"x"&amp;E2&amp;"mm "&amp;H2&amp;" "&amp;G2&amp;" "&amp;I2</f>
        <v xml:space="preserve"> Walnut   0.42xNONx2500mm P AA PC Z</v>
      </c>
      <c r="M2" s="45" t="s">
        <v>2441</v>
      </c>
    </row>
    <row r="3" spans="1:13" ht="13.2">
      <c r="A3" s="43" t="s">
        <v>2442</v>
      </c>
      <c r="B3" s="43" t="s">
        <v>2439</v>
      </c>
      <c r="C3" s="43">
        <v>0.42</v>
      </c>
      <c r="D3" s="43" t="s">
        <v>1353</v>
      </c>
      <c r="E3" s="43">
        <v>2500</v>
      </c>
      <c r="F3" s="44" t="s">
        <v>1240</v>
      </c>
      <c r="G3" s="43" t="s">
        <v>1222</v>
      </c>
      <c r="H3" s="43" t="s">
        <v>1149</v>
      </c>
      <c r="I3" s="43" t="s">
        <v>1240</v>
      </c>
      <c r="J3" s="43"/>
      <c r="K3" s="43" t="s">
        <v>1354</v>
      </c>
      <c r="L3" s="45" t="str">
        <f>B3&amp;" "&amp;C3&amp;"x"&amp;D3&amp;"x"&amp;E3&amp;"mm "&amp;H3&amp;" "&amp;G3&amp;" "&amp;I3</f>
        <v xml:space="preserve"> Walnut   0.42xNONx2500mm PA PC Z</v>
      </c>
    </row>
    <row r="4" spans="1:13" ht="13.2">
      <c r="A4" s="43" t="s">
        <v>2443</v>
      </c>
      <c r="B4" s="43" t="s">
        <v>2439</v>
      </c>
      <c r="C4" s="43">
        <v>0.42</v>
      </c>
      <c r="D4" s="43" t="s">
        <v>1353</v>
      </c>
      <c r="E4" s="43">
        <v>2500</v>
      </c>
      <c r="F4" s="44" t="s">
        <v>1240</v>
      </c>
      <c r="G4" s="43" t="s">
        <v>1222</v>
      </c>
      <c r="H4" s="43" t="s">
        <v>2444</v>
      </c>
      <c r="I4" s="43" t="s">
        <v>1240</v>
      </c>
      <c r="J4" s="43"/>
      <c r="K4" s="43" t="s">
        <v>1354</v>
      </c>
      <c r="L4" s="45" t="str">
        <f t="shared" ref="L4:L67" si="0">B4&amp;" "&amp;C4&amp;"x"&amp;D4&amp;"x"&amp;E4&amp;"mm "&amp;H4&amp;" "&amp;G4&amp;" "&amp;I4</f>
        <v xml:space="preserve"> Walnut   0.42xNONx2500mm PT J8 PC Z</v>
      </c>
    </row>
    <row r="5" spans="1:13" ht="13.2">
      <c r="A5" s="43" t="s">
        <v>2445</v>
      </c>
      <c r="B5" s="43" t="s">
        <v>2439</v>
      </c>
      <c r="C5" s="43">
        <v>0.5</v>
      </c>
      <c r="D5" s="43" t="s">
        <v>1353</v>
      </c>
      <c r="E5" s="43">
        <v>2500</v>
      </c>
      <c r="F5" s="44" t="s">
        <v>1240</v>
      </c>
      <c r="G5" s="43" t="s">
        <v>1222</v>
      </c>
      <c r="H5" s="43" t="s">
        <v>2444</v>
      </c>
      <c r="I5" s="43" t="s">
        <v>1240</v>
      </c>
      <c r="J5" s="43"/>
      <c r="K5" s="43" t="s">
        <v>1354</v>
      </c>
      <c r="L5" s="45" t="str">
        <f t="shared" si="0"/>
        <v xml:space="preserve"> Walnut   0.5xNONx2500mm PT J8 PC Z</v>
      </c>
    </row>
    <row r="6" spans="1:13" ht="13.2">
      <c r="A6" s="43" t="s">
        <v>2446</v>
      </c>
      <c r="B6" s="43" t="s">
        <v>1308</v>
      </c>
      <c r="C6" s="43">
        <v>0.5</v>
      </c>
      <c r="D6" s="43" t="s">
        <v>1353</v>
      </c>
      <c r="E6" s="43" t="s">
        <v>2447</v>
      </c>
      <c r="F6" s="44" t="s">
        <v>1240</v>
      </c>
      <c r="G6" s="43" t="s">
        <v>1240</v>
      </c>
      <c r="H6" s="43" t="s">
        <v>1240</v>
      </c>
      <c r="I6" s="43" t="s">
        <v>1240</v>
      </c>
      <c r="J6" s="43"/>
      <c r="K6" s="43" t="s">
        <v>51</v>
      </c>
      <c r="L6" s="45" t="str">
        <f t="shared" si="0"/>
        <v>BEECH 0.5xNONxNaturalmm Z Z Z</v>
      </c>
    </row>
    <row r="7" spans="1:13" ht="13.2">
      <c r="A7" s="43" t="s">
        <v>1355</v>
      </c>
      <c r="B7" s="43" t="s">
        <v>1352</v>
      </c>
      <c r="C7" s="43">
        <v>0.5</v>
      </c>
      <c r="D7" s="43" t="s">
        <v>1353</v>
      </c>
      <c r="E7" s="43">
        <v>2500</v>
      </c>
      <c r="F7" s="44" t="s">
        <v>1240</v>
      </c>
      <c r="G7" s="43" t="s">
        <v>1222</v>
      </c>
      <c r="H7" s="43" t="s">
        <v>49</v>
      </c>
      <c r="I7" s="43" t="s">
        <v>1240</v>
      </c>
      <c r="J7" s="43"/>
      <c r="K7" s="43" t="s">
        <v>51</v>
      </c>
      <c r="L7" s="45" t="str">
        <f t="shared" si="0"/>
        <v>CEDAR 0.5xNONx2500mm A PC Z</v>
      </c>
    </row>
    <row r="8" spans="1:13" ht="13.2">
      <c r="A8" s="46" t="s">
        <v>2448</v>
      </c>
      <c r="B8" s="47" t="s">
        <v>1359</v>
      </c>
      <c r="C8" s="47">
        <v>0.4</v>
      </c>
      <c r="D8" s="47" t="s">
        <v>1353</v>
      </c>
      <c r="E8" s="47">
        <v>2500</v>
      </c>
      <c r="F8" s="48" t="s">
        <v>1240</v>
      </c>
      <c r="G8" s="47" t="s">
        <v>1222</v>
      </c>
      <c r="H8" s="47" t="s">
        <v>1149</v>
      </c>
      <c r="I8" s="47"/>
      <c r="J8" s="47"/>
      <c r="K8" s="47" t="s">
        <v>1354</v>
      </c>
      <c r="L8" s="45" t="str">
        <f t="shared" si="0"/>
        <v xml:space="preserve">CHERRY 0.4xNONx2500mm PA PC </v>
      </c>
    </row>
    <row r="9" spans="1:13" ht="13.2">
      <c r="A9" s="47" t="s">
        <v>2449</v>
      </c>
      <c r="B9" s="47" t="s">
        <v>1359</v>
      </c>
      <c r="C9" s="47">
        <v>0.42</v>
      </c>
      <c r="D9" s="47" t="s">
        <v>1353</v>
      </c>
      <c r="E9" s="47" t="s">
        <v>2450</v>
      </c>
      <c r="F9" s="48" t="s">
        <v>1240</v>
      </c>
      <c r="G9" s="47" t="s">
        <v>1222</v>
      </c>
      <c r="H9" s="47" t="s">
        <v>49</v>
      </c>
      <c r="I9" s="47"/>
      <c r="J9" s="47"/>
      <c r="K9" s="47" t="s">
        <v>51</v>
      </c>
      <c r="L9" s="45" t="str">
        <f t="shared" si="0"/>
        <v xml:space="preserve">CHERRY 0.42xNONx2500+mm A PC </v>
      </c>
    </row>
    <row r="10" spans="1:13" ht="13.2">
      <c r="A10" s="47" t="s">
        <v>2451</v>
      </c>
      <c r="B10" s="47" t="s">
        <v>1359</v>
      </c>
      <c r="C10" s="47">
        <v>0.45</v>
      </c>
      <c r="D10" s="47" t="s">
        <v>1353</v>
      </c>
      <c r="E10" s="47" t="s">
        <v>2452</v>
      </c>
      <c r="F10" s="48" t="s">
        <v>1252</v>
      </c>
      <c r="G10" s="47" t="s">
        <v>1222</v>
      </c>
      <c r="H10" s="47" t="s">
        <v>1278</v>
      </c>
      <c r="I10" s="47"/>
      <c r="J10" s="47"/>
      <c r="K10" s="47" t="s">
        <v>51</v>
      </c>
      <c r="L10" s="45" t="str">
        <f t="shared" si="0"/>
        <v xml:space="preserve">CHERRY 0.45xNONx2550+mm C PC </v>
      </c>
    </row>
    <row r="11" spans="1:13" ht="13.2">
      <c r="A11" s="43" t="s">
        <v>2453</v>
      </c>
      <c r="B11" s="43" t="s">
        <v>1359</v>
      </c>
      <c r="C11" s="43">
        <v>0.45</v>
      </c>
      <c r="D11" s="43" t="s">
        <v>1353</v>
      </c>
      <c r="E11" s="43" t="s">
        <v>2450</v>
      </c>
      <c r="F11" s="44" t="s">
        <v>1240</v>
      </c>
      <c r="G11" s="43" t="s">
        <v>1222</v>
      </c>
      <c r="H11" s="43" t="s">
        <v>1278</v>
      </c>
      <c r="I11" s="43"/>
      <c r="J11" s="43"/>
      <c r="K11" s="43" t="s">
        <v>51</v>
      </c>
      <c r="L11" s="45" t="str">
        <f t="shared" si="0"/>
        <v xml:space="preserve">CHERRY 0.45xNONx2500+mm C PC </v>
      </c>
    </row>
    <row r="12" spans="1:13" ht="13.2">
      <c r="A12" s="43" t="s">
        <v>2454</v>
      </c>
      <c r="B12" s="43" t="s">
        <v>1359</v>
      </c>
      <c r="C12" s="43">
        <v>0.5</v>
      </c>
      <c r="D12" s="43" t="s">
        <v>1353</v>
      </c>
      <c r="E12" s="43" t="s">
        <v>2450</v>
      </c>
      <c r="F12" s="44" t="s">
        <v>1240</v>
      </c>
      <c r="G12" s="43" t="s">
        <v>1222</v>
      </c>
      <c r="H12" s="43" t="s">
        <v>1137</v>
      </c>
      <c r="I12" s="43"/>
      <c r="J12" s="43"/>
      <c r="K12" s="43" t="s">
        <v>51</v>
      </c>
      <c r="L12" s="45" t="str">
        <f t="shared" si="0"/>
        <v xml:space="preserve">CHERRY 0.5xNONx2500+mm B PC </v>
      </c>
    </row>
    <row r="13" spans="1:13" ht="13.2">
      <c r="A13" s="47" t="s">
        <v>2455</v>
      </c>
      <c r="B13" s="47" t="s">
        <v>1359</v>
      </c>
      <c r="C13" s="47">
        <v>0.5</v>
      </c>
      <c r="D13" s="47" t="s">
        <v>1353</v>
      </c>
      <c r="E13" s="47" t="s">
        <v>2450</v>
      </c>
      <c r="F13" s="48" t="s">
        <v>1240</v>
      </c>
      <c r="G13" s="47" t="s">
        <v>1222</v>
      </c>
      <c r="H13" s="47" t="s">
        <v>1278</v>
      </c>
      <c r="I13" s="47"/>
      <c r="J13" s="47"/>
      <c r="K13" s="47" t="s">
        <v>51</v>
      </c>
      <c r="L13" s="45" t="str">
        <f t="shared" si="0"/>
        <v xml:space="preserve">CHERRY 0.5xNONx2500+mm C PC </v>
      </c>
    </row>
    <row r="14" spans="1:13" ht="13.2">
      <c r="A14" s="43" t="s">
        <v>2456</v>
      </c>
      <c r="B14" s="43" t="s">
        <v>1562</v>
      </c>
      <c r="C14" s="43">
        <v>0.4</v>
      </c>
      <c r="D14" s="43" t="s">
        <v>1353</v>
      </c>
      <c r="E14" s="43" t="s">
        <v>2450</v>
      </c>
      <c r="F14" s="44" t="s">
        <v>1240</v>
      </c>
      <c r="G14" s="43" t="s">
        <v>1222</v>
      </c>
      <c r="H14" s="43" t="s">
        <v>2457</v>
      </c>
      <c r="I14" s="43" t="s">
        <v>1240</v>
      </c>
      <c r="J14" s="43" t="s">
        <v>1122</v>
      </c>
      <c r="K14" s="43" t="s">
        <v>51</v>
      </c>
      <c r="L14" s="45" t="str">
        <f t="shared" si="0"/>
        <v>R.OAK 0.4xNONx2500+mm 1A PC Z</v>
      </c>
    </row>
    <row r="15" spans="1:13" ht="13.2">
      <c r="A15" s="47" t="s">
        <v>2458</v>
      </c>
      <c r="B15" s="47" t="s">
        <v>1562</v>
      </c>
      <c r="C15" s="47">
        <v>0.4</v>
      </c>
      <c r="D15" s="47" t="s">
        <v>1353</v>
      </c>
      <c r="E15" s="47" t="s">
        <v>2450</v>
      </c>
      <c r="F15" s="48" t="s">
        <v>1240</v>
      </c>
      <c r="G15" s="47" t="s">
        <v>1222</v>
      </c>
      <c r="H15" s="47" t="s">
        <v>2459</v>
      </c>
      <c r="I15" s="47" t="s">
        <v>1240</v>
      </c>
      <c r="J15" s="47" t="s">
        <v>1122</v>
      </c>
      <c r="K15" s="47" t="s">
        <v>51</v>
      </c>
      <c r="L15" s="45" t="str">
        <f t="shared" si="0"/>
        <v>R.OAK 0.4xNONx2500+mm 2A PC Z</v>
      </c>
    </row>
    <row r="16" spans="1:13" ht="13.2">
      <c r="A16" s="43" t="s">
        <v>2460</v>
      </c>
      <c r="B16" s="43" t="s">
        <v>1562</v>
      </c>
      <c r="C16" s="43">
        <v>0.4</v>
      </c>
      <c r="D16" s="43" t="s">
        <v>1353</v>
      </c>
      <c r="E16" s="43">
        <v>2500</v>
      </c>
      <c r="F16" s="44" t="s">
        <v>1240</v>
      </c>
      <c r="G16" s="43" t="s">
        <v>1222</v>
      </c>
      <c r="H16" s="43" t="s">
        <v>1147</v>
      </c>
      <c r="I16" s="43" t="s">
        <v>1240</v>
      </c>
      <c r="J16" s="43" t="s">
        <v>1122</v>
      </c>
      <c r="K16" s="43" t="s">
        <v>1354</v>
      </c>
      <c r="L16" s="45" t="str">
        <f t="shared" si="0"/>
        <v>R.OAK 0.4xNONx2500mm PAA PC Z</v>
      </c>
    </row>
    <row r="17" spans="1:12" ht="13.2">
      <c r="A17" s="43" t="s">
        <v>2461</v>
      </c>
      <c r="B17" s="43" t="s">
        <v>1562</v>
      </c>
      <c r="C17" s="43">
        <v>0.4</v>
      </c>
      <c r="D17" s="43" t="s">
        <v>1353</v>
      </c>
      <c r="E17" s="43" t="s">
        <v>2450</v>
      </c>
      <c r="F17" s="44" t="s">
        <v>1240</v>
      </c>
      <c r="G17" s="43" t="s">
        <v>1222</v>
      </c>
      <c r="H17" s="43" t="s">
        <v>2462</v>
      </c>
      <c r="I17" s="43" t="s">
        <v>1240</v>
      </c>
      <c r="J17" s="43"/>
      <c r="K17" s="43" t="s">
        <v>51</v>
      </c>
      <c r="L17" s="45" t="str">
        <f t="shared" si="0"/>
        <v>R.OAK 0.4xNONx2500+mm Panel A PC Z</v>
      </c>
    </row>
    <row r="18" spans="1:12" ht="13.2">
      <c r="A18" s="43" t="s">
        <v>2463</v>
      </c>
      <c r="B18" s="43" t="s">
        <v>1562</v>
      </c>
      <c r="C18" s="43">
        <v>0.4</v>
      </c>
      <c r="D18" s="43" t="s">
        <v>1353</v>
      </c>
      <c r="E18" s="43" t="s">
        <v>2450</v>
      </c>
      <c r="F18" s="44" t="s">
        <v>1240</v>
      </c>
      <c r="G18" s="43" t="s">
        <v>1296</v>
      </c>
      <c r="H18" s="43" t="s">
        <v>2462</v>
      </c>
      <c r="I18" s="43" t="s">
        <v>1240</v>
      </c>
      <c r="J18" s="43"/>
      <c r="K18" s="43" t="s">
        <v>51</v>
      </c>
      <c r="L18" s="45" t="str">
        <f t="shared" si="0"/>
        <v>R.OAK 0.4xNONx2500+mm Panel A RC Z</v>
      </c>
    </row>
    <row r="19" spans="1:12" ht="13.2">
      <c r="A19" s="47" t="s">
        <v>2464</v>
      </c>
      <c r="B19" s="47" t="s">
        <v>1562</v>
      </c>
      <c r="C19" s="47">
        <v>0.45</v>
      </c>
      <c r="D19" s="47" t="s">
        <v>1353</v>
      </c>
      <c r="E19" s="47" t="s">
        <v>2450</v>
      </c>
      <c r="F19" s="48" t="s">
        <v>1240</v>
      </c>
      <c r="G19" s="47" t="s">
        <v>1222</v>
      </c>
      <c r="H19" s="47" t="s">
        <v>1244</v>
      </c>
      <c r="I19" s="47" t="s">
        <v>1240</v>
      </c>
      <c r="J19" s="47"/>
      <c r="K19" s="47" t="s">
        <v>51</v>
      </c>
      <c r="L19" s="45" t="str">
        <f t="shared" si="0"/>
        <v>R.OAK 0.45xNONx2500+mm #2 PC Z</v>
      </c>
    </row>
    <row r="20" spans="1:12" ht="13.2">
      <c r="A20" s="47" t="s">
        <v>2465</v>
      </c>
      <c r="B20" s="47" t="s">
        <v>1562</v>
      </c>
      <c r="C20" s="47">
        <v>0.45</v>
      </c>
      <c r="D20" s="47" t="s">
        <v>1353</v>
      </c>
      <c r="E20" s="47" t="s">
        <v>2450</v>
      </c>
      <c r="F20" s="48" t="s">
        <v>1240</v>
      </c>
      <c r="G20" s="47" t="s">
        <v>1222</v>
      </c>
      <c r="H20" s="47" t="s">
        <v>1137</v>
      </c>
      <c r="I20" s="47" t="s">
        <v>1240</v>
      </c>
      <c r="J20" s="47"/>
      <c r="K20" s="47" t="s">
        <v>51</v>
      </c>
      <c r="L20" s="45" t="str">
        <f t="shared" si="0"/>
        <v>R.OAK 0.45xNONx2500+mm B PC Z</v>
      </c>
    </row>
    <row r="21" spans="1:12" ht="13.2">
      <c r="A21" s="47" t="s">
        <v>2466</v>
      </c>
      <c r="B21" s="47" t="s">
        <v>1562</v>
      </c>
      <c r="C21" s="47">
        <v>0.45</v>
      </c>
      <c r="D21" s="47" t="s">
        <v>1353</v>
      </c>
      <c r="E21" s="47" t="s">
        <v>2452</v>
      </c>
      <c r="F21" s="48" t="s">
        <v>1620</v>
      </c>
      <c r="G21" s="47" t="s">
        <v>1222</v>
      </c>
      <c r="H21" s="47" t="s">
        <v>1240</v>
      </c>
      <c r="I21" s="47" t="s">
        <v>1240</v>
      </c>
      <c r="J21" s="47"/>
      <c r="K21" s="47" t="s">
        <v>51</v>
      </c>
      <c r="L21" s="45" t="str">
        <f t="shared" si="0"/>
        <v>R.OAK 0.45xNONx2550+mm Z PC Z</v>
      </c>
    </row>
    <row r="22" spans="1:12" ht="13.2">
      <c r="A22" s="43" t="s">
        <v>2467</v>
      </c>
      <c r="B22" s="43" t="s">
        <v>1562</v>
      </c>
      <c r="C22" s="43">
        <v>0.5</v>
      </c>
      <c r="D22" s="43" t="s">
        <v>1353</v>
      </c>
      <c r="E22" s="43" t="s">
        <v>2450</v>
      </c>
      <c r="F22" s="44" t="s">
        <v>1240</v>
      </c>
      <c r="G22" s="43" t="s">
        <v>1222</v>
      </c>
      <c r="H22" s="43" t="s">
        <v>1244</v>
      </c>
      <c r="I22" s="43" t="s">
        <v>1240</v>
      </c>
      <c r="J22" s="43"/>
      <c r="K22" s="43" t="s">
        <v>51</v>
      </c>
      <c r="L22" s="45" t="str">
        <f t="shared" si="0"/>
        <v>R.OAK 0.5xNONx2500+mm #2 PC Z</v>
      </c>
    </row>
    <row r="23" spans="1:12" ht="13.2">
      <c r="A23" s="47" t="s">
        <v>2468</v>
      </c>
      <c r="B23" s="47" t="s">
        <v>1562</v>
      </c>
      <c r="C23" s="47">
        <v>0.5</v>
      </c>
      <c r="D23" s="47" t="s">
        <v>1353</v>
      </c>
      <c r="E23" s="47" t="s">
        <v>2450</v>
      </c>
      <c r="F23" s="48" t="s">
        <v>1240</v>
      </c>
      <c r="G23" s="47" t="s">
        <v>1222</v>
      </c>
      <c r="H23" s="47" t="s">
        <v>49</v>
      </c>
      <c r="I23" s="47" t="s">
        <v>1240</v>
      </c>
      <c r="J23" s="47"/>
      <c r="K23" s="47" t="s">
        <v>51</v>
      </c>
      <c r="L23" s="45" t="str">
        <f t="shared" si="0"/>
        <v>R.OAK 0.5xNONx2500+mm A PC Z</v>
      </c>
    </row>
    <row r="24" spans="1:12" ht="13.2">
      <c r="A24" s="43" t="s">
        <v>2469</v>
      </c>
      <c r="B24" s="43" t="s">
        <v>1562</v>
      </c>
      <c r="C24" s="43">
        <v>0.5</v>
      </c>
      <c r="D24" s="43" t="s">
        <v>1353</v>
      </c>
      <c r="E24" s="43" t="s">
        <v>2450</v>
      </c>
      <c r="F24" s="44" t="s">
        <v>1240</v>
      </c>
      <c r="G24" s="43" t="s">
        <v>1222</v>
      </c>
      <c r="H24" s="43" t="s">
        <v>1137</v>
      </c>
      <c r="I24" s="43" t="s">
        <v>1240</v>
      </c>
      <c r="J24" s="43"/>
      <c r="K24" s="43" t="s">
        <v>51</v>
      </c>
      <c r="L24" s="45" t="str">
        <f t="shared" si="0"/>
        <v>R.OAK 0.5xNONx2500+mm B PC Z</v>
      </c>
    </row>
    <row r="25" spans="1:12" ht="13.2">
      <c r="A25" s="43" t="s">
        <v>2470</v>
      </c>
      <c r="B25" s="43" t="s">
        <v>1562</v>
      </c>
      <c r="C25" s="43">
        <v>0.5</v>
      </c>
      <c r="D25" s="43" t="s">
        <v>1353</v>
      </c>
      <c r="E25" s="43">
        <v>2500</v>
      </c>
      <c r="F25" s="44" t="s">
        <v>1240</v>
      </c>
      <c r="G25" s="43" t="s">
        <v>1222</v>
      </c>
      <c r="H25" s="43" t="s">
        <v>1147</v>
      </c>
      <c r="I25" s="43" t="s">
        <v>1240</v>
      </c>
      <c r="J25" s="43" t="s">
        <v>1122</v>
      </c>
      <c r="K25" s="43" t="s">
        <v>1354</v>
      </c>
      <c r="L25" s="45" t="str">
        <f t="shared" si="0"/>
        <v>R.OAK 0.5xNONx2500mm PAA PC Z</v>
      </c>
    </row>
    <row r="26" spans="1:12" ht="13.2">
      <c r="A26" s="43" t="s">
        <v>2471</v>
      </c>
      <c r="B26" s="43" t="s">
        <v>1562</v>
      </c>
      <c r="C26" s="43">
        <v>0.5</v>
      </c>
      <c r="D26" s="43" t="s">
        <v>1353</v>
      </c>
      <c r="E26" s="43" t="s">
        <v>2472</v>
      </c>
      <c r="F26" s="44" t="s">
        <v>1240</v>
      </c>
      <c r="G26" s="43" t="s">
        <v>2473</v>
      </c>
      <c r="H26" s="43" t="s">
        <v>1240</v>
      </c>
      <c r="I26" s="43" t="s">
        <v>1240</v>
      </c>
      <c r="J26" s="43"/>
      <c r="K26" s="43" t="s">
        <v>51</v>
      </c>
      <c r="L26" s="45" t="str">
        <f t="shared" si="0"/>
        <v>R.OAK 0.5xNONx2500/3500mm Z Rift Z</v>
      </c>
    </row>
    <row r="27" spans="1:12" ht="13.2">
      <c r="A27" s="47" t="s">
        <v>2474</v>
      </c>
      <c r="B27" s="47" t="s">
        <v>1754</v>
      </c>
      <c r="C27" s="47">
        <v>0.5</v>
      </c>
      <c r="D27" s="47" t="s">
        <v>1353</v>
      </c>
      <c r="E27" s="47" t="s">
        <v>2447</v>
      </c>
      <c r="F27" s="48" t="s">
        <v>1240</v>
      </c>
      <c r="G27" s="47" t="s">
        <v>1240</v>
      </c>
      <c r="H27" s="47" t="s">
        <v>1240</v>
      </c>
      <c r="I27" s="47" t="s">
        <v>1240</v>
      </c>
      <c r="J27" s="47"/>
      <c r="K27" s="47" t="s">
        <v>51</v>
      </c>
      <c r="L27" s="45" t="str">
        <f t="shared" si="0"/>
        <v>W.ASH 0.5xNONxNaturalmm Z Z Z</v>
      </c>
    </row>
    <row r="28" spans="1:12" ht="13.2">
      <c r="A28" s="47" t="s">
        <v>2475</v>
      </c>
      <c r="B28" s="47" t="s">
        <v>1771</v>
      </c>
      <c r="C28" s="47">
        <v>0.5</v>
      </c>
      <c r="D28" s="47" t="s">
        <v>1353</v>
      </c>
      <c r="E28" s="47" t="s">
        <v>2476</v>
      </c>
      <c r="F28" s="48" t="s">
        <v>1240</v>
      </c>
      <c r="G28" s="47" t="s">
        <v>1296</v>
      </c>
      <c r="H28" s="47" t="s">
        <v>1240</v>
      </c>
      <c r="I28" s="47" t="s">
        <v>1240</v>
      </c>
      <c r="J28" s="47"/>
      <c r="K28" s="47" t="s">
        <v>51</v>
      </c>
      <c r="L28" s="45" t="str">
        <f t="shared" si="0"/>
        <v>W.BIRCH 0.5xNONx2200/2500mm Z RC Z</v>
      </c>
    </row>
    <row r="29" spans="1:12" ht="13.2">
      <c r="A29" s="47" t="s">
        <v>2477</v>
      </c>
      <c r="B29" s="47" t="s">
        <v>1852</v>
      </c>
      <c r="C29" s="47">
        <v>0.4</v>
      </c>
      <c r="D29" s="47" t="s">
        <v>1353</v>
      </c>
      <c r="E29" s="47">
        <v>2500</v>
      </c>
      <c r="F29" s="48" t="s">
        <v>1240</v>
      </c>
      <c r="G29" s="47" t="s">
        <v>1296</v>
      </c>
      <c r="H29" s="47" t="s">
        <v>2478</v>
      </c>
      <c r="I29" s="47" t="s">
        <v>1240</v>
      </c>
      <c r="J29" s="47" t="s">
        <v>1122</v>
      </c>
      <c r="K29" s="47" t="s">
        <v>51</v>
      </c>
      <c r="L29" s="45" t="str">
        <f t="shared" si="0"/>
        <v>W.MAPLE 0.4xNONx2500mm #3 SPL RC Z</v>
      </c>
    </row>
    <row r="30" spans="1:12" ht="13.2">
      <c r="A30" s="43" t="s">
        <v>2479</v>
      </c>
      <c r="B30" s="43" t="s">
        <v>1852</v>
      </c>
      <c r="C30" s="43">
        <v>0.5</v>
      </c>
      <c r="D30" s="43" t="s">
        <v>1353</v>
      </c>
      <c r="E30" s="43" t="s">
        <v>2480</v>
      </c>
      <c r="F30" s="44" t="s">
        <v>1240</v>
      </c>
      <c r="G30" s="43" t="s">
        <v>1222</v>
      </c>
      <c r="H30" s="43" t="s">
        <v>1380</v>
      </c>
      <c r="I30" s="43" t="s">
        <v>1240</v>
      </c>
      <c r="J30" s="43" t="s">
        <v>1122</v>
      </c>
      <c r="K30" s="43" t="s">
        <v>51</v>
      </c>
      <c r="L30" s="45" t="str">
        <f t="shared" si="0"/>
        <v>W.MAPLE 0.5xNONx2250/2500mm Door A PC Z</v>
      </c>
    </row>
    <row r="31" spans="1:12" ht="13.2">
      <c r="A31" s="47" t="s">
        <v>2481</v>
      </c>
      <c r="B31" s="47" t="s">
        <v>1852</v>
      </c>
      <c r="C31" s="47">
        <v>0.5</v>
      </c>
      <c r="D31" s="47" t="s">
        <v>1353</v>
      </c>
      <c r="E31" s="47" t="s">
        <v>2480</v>
      </c>
      <c r="F31" s="48" t="s">
        <v>1240</v>
      </c>
      <c r="G31" s="47" t="s">
        <v>1222</v>
      </c>
      <c r="H31" s="47" t="s">
        <v>1523</v>
      </c>
      <c r="I31" s="47" t="s">
        <v>1240</v>
      </c>
      <c r="J31" s="47" t="s">
        <v>1122</v>
      </c>
      <c r="K31" s="47" t="s">
        <v>51</v>
      </c>
      <c r="L31" s="45" t="str">
        <f t="shared" si="0"/>
        <v>W.MAPLE 0.5xNONx2250/2500mm Door AB PC Z</v>
      </c>
    </row>
    <row r="32" spans="1:12" ht="13.2">
      <c r="A32" s="47" t="s">
        <v>2482</v>
      </c>
      <c r="B32" s="47" t="s">
        <v>1852</v>
      </c>
      <c r="C32" s="47">
        <v>0.5</v>
      </c>
      <c r="D32" s="47" t="s">
        <v>1353</v>
      </c>
      <c r="E32" s="47" t="s">
        <v>2480</v>
      </c>
      <c r="F32" s="48" t="s">
        <v>1240</v>
      </c>
      <c r="G32" s="47" t="s">
        <v>1222</v>
      </c>
      <c r="H32" s="47" t="s">
        <v>2483</v>
      </c>
      <c r="I32" s="47" t="s">
        <v>1240</v>
      </c>
      <c r="J32" s="47" t="s">
        <v>1122</v>
      </c>
      <c r="K32" s="47" t="s">
        <v>51</v>
      </c>
      <c r="L32" s="45" t="str">
        <f t="shared" si="0"/>
        <v>W.MAPLE 0.5xNONx2250/2500mm Door B PC Z</v>
      </c>
    </row>
    <row r="33" spans="1:12" ht="13.2">
      <c r="A33" s="43" t="s">
        <v>2484</v>
      </c>
      <c r="B33" s="43" t="s">
        <v>1852</v>
      </c>
      <c r="C33" s="43">
        <v>0.5</v>
      </c>
      <c r="D33" s="43" t="s">
        <v>1353</v>
      </c>
      <c r="E33" s="43" t="s">
        <v>2485</v>
      </c>
      <c r="F33" s="44" t="s">
        <v>1240</v>
      </c>
      <c r="G33" s="43" t="s">
        <v>1222</v>
      </c>
      <c r="H33" s="43" t="s">
        <v>2462</v>
      </c>
      <c r="I33" s="43" t="s">
        <v>1240</v>
      </c>
      <c r="J33" s="43" t="s">
        <v>1122</v>
      </c>
      <c r="K33" s="43" t="s">
        <v>51</v>
      </c>
      <c r="L33" s="45" t="str">
        <f t="shared" si="0"/>
        <v>W.MAPLE 0.5xNONx2250/3050mm Panel A PC Z</v>
      </c>
    </row>
    <row r="34" spans="1:12" ht="13.2">
      <c r="A34" s="43" t="s">
        <v>2486</v>
      </c>
      <c r="B34" s="43" t="s">
        <v>1852</v>
      </c>
      <c r="C34" s="43">
        <v>0.5</v>
      </c>
      <c r="D34" s="43" t="s">
        <v>1353</v>
      </c>
      <c r="E34" s="43" t="s">
        <v>2485</v>
      </c>
      <c r="F34" s="44" t="s">
        <v>1240</v>
      </c>
      <c r="G34" s="43" t="s">
        <v>1222</v>
      </c>
      <c r="H34" s="43" t="s">
        <v>2487</v>
      </c>
      <c r="I34" s="43" t="s">
        <v>1240</v>
      </c>
      <c r="J34" s="43" t="s">
        <v>1122</v>
      </c>
      <c r="K34" s="43" t="s">
        <v>51</v>
      </c>
      <c r="L34" s="45" t="str">
        <f t="shared" si="0"/>
        <v>W.MAPLE 0.5xNONx2250/3050mm Panel AA PC Z</v>
      </c>
    </row>
    <row r="35" spans="1:12" ht="13.2">
      <c r="A35" s="47" t="s">
        <v>2488</v>
      </c>
      <c r="B35" s="47" t="s">
        <v>1852</v>
      </c>
      <c r="C35" s="47">
        <v>0.5</v>
      </c>
      <c r="D35" s="47" t="s">
        <v>1353</v>
      </c>
      <c r="E35" s="47" t="s">
        <v>2485</v>
      </c>
      <c r="F35" s="48" t="s">
        <v>1240</v>
      </c>
      <c r="G35" s="47" t="s">
        <v>1222</v>
      </c>
      <c r="H35" s="47" t="s">
        <v>2489</v>
      </c>
      <c r="I35" s="47" t="s">
        <v>1240</v>
      </c>
      <c r="J35" s="47" t="s">
        <v>1122</v>
      </c>
      <c r="K35" s="47" t="s">
        <v>51</v>
      </c>
      <c r="L35" s="45" t="str">
        <f t="shared" si="0"/>
        <v>W.MAPLE 0.5xNONx2250/3050mm Panel AB PC Z</v>
      </c>
    </row>
    <row r="36" spans="1:12" ht="13.2">
      <c r="A36" s="43" t="s">
        <v>2490</v>
      </c>
      <c r="B36" s="43" t="s">
        <v>1852</v>
      </c>
      <c r="C36" s="43">
        <v>0.5</v>
      </c>
      <c r="D36" s="43" t="s">
        <v>1353</v>
      </c>
      <c r="E36" s="43" t="s">
        <v>2485</v>
      </c>
      <c r="F36" s="44" t="s">
        <v>1240</v>
      </c>
      <c r="G36" s="43" t="s">
        <v>1222</v>
      </c>
      <c r="H36" s="43" t="s">
        <v>2491</v>
      </c>
      <c r="I36" s="43" t="s">
        <v>1240</v>
      </c>
      <c r="J36" s="43" t="s">
        <v>1122</v>
      </c>
      <c r="K36" s="43" t="s">
        <v>51</v>
      </c>
      <c r="L36" s="45" t="str">
        <f t="shared" si="0"/>
        <v>W.MAPLE 0.5xNONx2250/3050mm Panel B PC Z</v>
      </c>
    </row>
    <row r="37" spans="1:12" ht="13.2">
      <c r="A37" s="47" t="s">
        <v>2492</v>
      </c>
      <c r="B37" s="47" t="s">
        <v>2092</v>
      </c>
      <c r="C37" s="47">
        <v>0.4</v>
      </c>
      <c r="D37" s="47" t="s">
        <v>1353</v>
      </c>
      <c r="E37" s="47" t="s">
        <v>2452</v>
      </c>
      <c r="F37" s="48" t="s">
        <v>1620</v>
      </c>
      <c r="G37" s="47" t="s">
        <v>1342</v>
      </c>
      <c r="H37" s="47" t="s">
        <v>2462</v>
      </c>
      <c r="I37" s="47" t="s">
        <v>1240</v>
      </c>
      <c r="J37" s="47" t="s">
        <v>1122</v>
      </c>
      <c r="K37" s="47" t="s">
        <v>51</v>
      </c>
      <c r="L37" s="45" t="str">
        <f t="shared" si="0"/>
        <v>W.OAK 0.4xNONx2550+mm Panel A QC Z</v>
      </c>
    </row>
    <row r="38" spans="1:12" ht="13.2">
      <c r="A38" s="43" t="s">
        <v>1142</v>
      </c>
      <c r="B38" s="43" t="s">
        <v>2092</v>
      </c>
      <c r="C38" s="43">
        <v>0.4</v>
      </c>
      <c r="D38" s="43" t="s">
        <v>1353</v>
      </c>
      <c r="E38" s="43">
        <v>2500</v>
      </c>
      <c r="F38" s="44" t="s">
        <v>1240</v>
      </c>
      <c r="G38" s="43" t="s">
        <v>1679</v>
      </c>
      <c r="H38" s="43" t="s">
        <v>1147</v>
      </c>
      <c r="I38" s="43" t="s">
        <v>1240</v>
      </c>
      <c r="J38" s="43"/>
      <c r="K38" s="43" t="s">
        <v>51</v>
      </c>
      <c r="L38" s="45" t="str">
        <f t="shared" si="0"/>
        <v>W.OAK 0.4xNONx2500mm PAA RIFT Z</v>
      </c>
    </row>
    <row r="39" spans="1:12" ht="13.2">
      <c r="A39" s="46" t="s">
        <v>2493</v>
      </c>
      <c r="B39" s="43" t="s">
        <v>2092</v>
      </c>
      <c r="C39" s="43">
        <v>0.4</v>
      </c>
      <c r="D39" s="43" t="s">
        <v>1353</v>
      </c>
      <c r="E39" s="43">
        <v>2500</v>
      </c>
      <c r="F39" s="44" t="s">
        <v>1240</v>
      </c>
      <c r="G39" s="43" t="s">
        <v>1679</v>
      </c>
      <c r="H39" s="43" t="s">
        <v>1149</v>
      </c>
      <c r="I39" s="43" t="s">
        <v>1240</v>
      </c>
      <c r="J39" s="43"/>
      <c r="K39" s="43" t="s">
        <v>51</v>
      </c>
      <c r="L39" s="45" t="str">
        <f t="shared" si="0"/>
        <v>W.OAK 0.4xNONx2500mm PA RIFT Z</v>
      </c>
    </row>
    <row r="40" spans="1:12" ht="13.2">
      <c r="A40" s="46" t="s">
        <v>2494</v>
      </c>
      <c r="B40" s="43" t="s">
        <v>2092</v>
      </c>
      <c r="C40" s="43">
        <v>0.4</v>
      </c>
      <c r="D40" s="43" t="s">
        <v>1353</v>
      </c>
      <c r="E40" s="43">
        <v>2500</v>
      </c>
      <c r="F40" s="44" t="s">
        <v>1240</v>
      </c>
      <c r="G40" s="43" t="s">
        <v>1679</v>
      </c>
      <c r="H40" s="43" t="s">
        <v>2495</v>
      </c>
      <c r="I40" s="43" t="s">
        <v>1240</v>
      </c>
      <c r="J40" s="43"/>
      <c r="K40" s="43" t="s">
        <v>51</v>
      </c>
      <c r="L40" s="45" t="str">
        <f t="shared" si="0"/>
        <v>W.OAK 0.4xNONx2500mm PAB RIFT Z</v>
      </c>
    </row>
    <row r="41" spans="1:12" ht="13.2">
      <c r="A41" s="47" t="s">
        <v>2496</v>
      </c>
      <c r="B41" s="47" t="s">
        <v>2092</v>
      </c>
      <c r="C41" s="47">
        <v>0.4</v>
      </c>
      <c r="D41" s="47" t="s">
        <v>1353</v>
      </c>
      <c r="E41" s="47" t="s">
        <v>2450</v>
      </c>
      <c r="F41" s="48" t="s">
        <v>1240</v>
      </c>
      <c r="G41" s="47" t="s">
        <v>2473</v>
      </c>
      <c r="H41" s="47" t="s">
        <v>2497</v>
      </c>
      <c r="I41" s="47" t="s">
        <v>1240</v>
      </c>
      <c r="J41" s="47"/>
      <c r="K41" s="47" t="s">
        <v>51</v>
      </c>
      <c r="L41" s="45" t="str">
        <f t="shared" si="0"/>
        <v>W.OAK 0.4xNONx2500+mm Panel  AB Rift Z</v>
      </c>
    </row>
    <row r="42" spans="1:12" ht="13.2">
      <c r="A42" s="47" t="s">
        <v>2498</v>
      </c>
      <c r="B42" s="47" t="s">
        <v>2092</v>
      </c>
      <c r="C42" s="47">
        <v>0.4</v>
      </c>
      <c r="D42" s="47" t="s">
        <v>1353</v>
      </c>
      <c r="E42" s="47" t="s">
        <v>2450</v>
      </c>
      <c r="F42" s="48" t="s">
        <v>1240</v>
      </c>
      <c r="G42" s="47" t="s">
        <v>2473</v>
      </c>
      <c r="H42" s="47" t="s">
        <v>2462</v>
      </c>
      <c r="I42" s="47" t="s">
        <v>1240</v>
      </c>
      <c r="J42" s="47"/>
      <c r="K42" s="47" t="s">
        <v>51</v>
      </c>
      <c r="L42" s="45" t="str">
        <f t="shared" si="0"/>
        <v>W.OAK 0.4xNONx2500+mm Panel A Rift Z</v>
      </c>
    </row>
    <row r="43" spans="1:12" ht="13.2">
      <c r="A43" s="43" t="s">
        <v>2499</v>
      </c>
      <c r="B43" s="43" t="s">
        <v>2092</v>
      </c>
      <c r="C43" s="43">
        <v>0.4</v>
      </c>
      <c r="D43" s="43" t="s">
        <v>1353</v>
      </c>
      <c r="E43" s="43" t="s">
        <v>2450</v>
      </c>
      <c r="F43" s="44" t="s">
        <v>1240</v>
      </c>
      <c r="G43" s="43" t="s">
        <v>2473</v>
      </c>
      <c r="H43" s="43" t="s">
        <v>2487</v>
      </c>
      <c r="I43" s="43" t="s">
        <v>1240</v>
      </c>
      <c r="J43" s="43"/>
      <c r="K43" s="43" t="s">
        <v>51</v>
      </c>
      <c r="L43" s="45" t="str">
        <f t="shared" si="0"/>
        <v>W.OAK 0.4xNONx2500+mm Panel AA Rift Z</v>
      </c>
    </row>
    <row r="44" spans="1:12" ht="13.2">
      <c r="A44" s="43" t="s">
        <v>1141</v>
      </c>
      <c r="B44" s="43" t="s">
        <v>2092</v>
      </c>
      <c r="C44" s="43">
        <v>0.4</v>
      </c>
      <c r="D44" s="43" t="s">
        <v>1353</v>
      </c>
      <c r="E44" s="43">
        <v>2500</v>
      </c>
      <c r="F44" s="44" t="s">
        <v>1240</v>
      </c>
      <c r="G44" s="43" t="s">
        <v>1679</v>
      </c>
      <c r="H44" s="43" t="s">
        <v>2500</v>
      </c>
      <c r="I44" s="43" t="s">
        <v>1240</v>
      </c>
      <c r="J44" s="43"/>
      <c r="K44" s="43" t="s">
        <v>1354</v>
      </c>
      <c r="L44" s="45" t="str">
        <f t="shared" si="0"/>
        <v>W.OAK 0.4xNONx2500mm PB  RIFT Z</v>
      </c>
    </row>
    <row r="45" spans="1:12" ht="13.2">
      <c r="A45" s="43" t="s">
        <v>2501</v>
      </c>
      <c r="B45" s="43" t="s">
        <v>2092</v>
      </c>
      <c r="C45" s="43">
        <v>0.42</v>
      </c>
      <c r="D45" s="43" t="s">
        <v>1353</v>
      </c>
      <c r="E45" s="43">
        <v>2500</v>
      </c>
      <c r="F45" s="44" t="s">
        <v>1240</v>
      </c>
      <c r="G45" s="43" t="s">
        <v>1679</v>
      </c>
      <c r="H45" s="43" t="s">
        <v>1240</v>
      </c>
      <c r="I45" s="43" t="s">
        <v>1149</v>
      </c>
      <c r="J45" s="43"/>
      <c r="K45" s="43" t="s">
        <v>1354</v>
      </c>
      <c r="L45" s="45" t="str">
        <f t="shared" si="0"/>
        <v>W.OAK 0.42xNONx2500mm Z RIFT PA</v>
      </c>
    </row>
    <row r="46" spans="1:12" ht="13.2">
      <c r="A46" s="43" t="s">
        <v>2502</v>
      </c>
      <c r="B46" s="43" t="s">
        <v>2092</v>
      </c>
      <c r="C46" s="43">
        <v>0.42</v>
      </c>
      <c r="D46" s="43" t="s">
        <v>1353</v>
      </c>
      <c r="E46" s="43">
        <v>2500</v>
      </c>
      <c r="F46" s="44" t="s">
        <v>1240</v>
      </c>
      <c r="G46" s="43" t="s">
        <v>1679</v>
      </c>
      <c r="H46" s="43" t="s">
        <v>1240</v>
      </c>
      <c r="I46" s="43" t="s">
        <v>1148</v>
      </c>
      <c r="J46" s="43"/>
      <c r="K46" s="43" t="s">
        <v>1354</v>
      </c>
      <c r="L46" s="45" t="str">
        <f t="shared" si="0"/>
        <v>W.OAK 0.42xNONx2500mm Z RIFT PB</v>
      </c>
    </row>
    <row r="47" spans="1:12" ht="13.2">
      <c r="A47" s="47" t="s">
        <v>2503</v>
      </c>
      <c r="B47" s="47" t="s">
        <v>2092</v>
      </c>
      <c r="C47" s="47">
        <v>0.45</v>
      </c>
      <c r="D47" s="47" t="s">
        <v>1353</v>
      </c>
      <c r="E47" s="47" t="s">
        <v>2450</v>
      </c>
      <c r="F47" s="48" t="s">
        <v>1240</v>
      </c>
      <c r="G47" s="47" t="s">
        <v>1222</v>
      </c>
      <c r="H47" s="47" t="s">
        <v>1109</v>
      </c>
      <c r="I47" s="47" t="s">
        <v>1240</v>
      </c>
      <c r="J47" s="47"/>
      <c r="K47" s="47" t="s">
        <v>51</v>
      </c>
      <c r="L47" s="45" t="str">
        <f t="shared" si="0"/>
        <v>W.OAK 0.45xNONx2500+mm #1 PC Z</v>
      </c>
    </row>
    <row r="48" spans="1:12" ht="13.2">
      <c r="A48" s="47" t="s">
        <v>2504</v>
      </c>
      <c r="B48" s="47" t="s">
        <v>2092</v>
      </c>
      <c r="C48" s="47">
        <v>0.45</v>
      </c>
      <c r="D48" s="47" t="s">
        <v>1353</v>
      </c>
      <c r="E48" s="47" t="s">
        <v>2450</v>
      </c>
      <c r="F48" s="48" t="s">
        <v>1240</v>
      </c>
      <c r="G48" s="47" t="s">
        <v>1222</v>
      </c>
      <c r="H48" s="47" t="s">
        <v>1244</v>
      </c>
      <c r="I48" s="47" t="s">
        <v>1240</v>
      </c>
      <c r="J48" s="47"/>
      <c r="K48" s="47" t="s">
        <v>51</v>
      </c>
      <c r="L48" s="45" t="str">
        <f t="shared" si="0"/>
        <v>W.OAK 0.45xNONx2500+mm #2 PC Z</v>
      </c>
    </row>
    <row r="49" spans="1:12" ht="13.2">
      <c r="A49" s="43" t="s">
        <v>2505</v>
      </c>
      <c r="B49" s="43" t="s">
        <v>2092</v>
      </c>
      <c r="C49" s="43">
        <v>0.45</v>
      </c>
      <c r="D49" s="43" t="s">
        <v>1353</v>
      </c>
      <c r="E49" s="43" t="s">
        <v>2450</v>
      </c>
      <c r="F49" s="44" t="s">
        <v>1240</v>
      </c>
      <c r="G49" s="43" t="s">
        <v>1222</v>
      </c>
      <c r="H49" s="43" t="s">
        <v>1137</v>
      </c>
      <c r="I49" s="43" t="s">
        <v>1240</v>
      </c>
      <c r="J49" s="43"/>
      <c r="K49" s="43" t="s">
        <v>51</v>
      </c>
      <c r="L49" s="45" t="str">
        <f t="shared" si="0"/>
        <v>W.OAK 0.45xNONx2500+mm B PC Z</v>
      </c>
    </row>
    <row r="50" spans="1:12" ht="13.2">
      <c r="A50" s="43" t="s">
        <v>2506</v>
      </c>
      <c r="B50" s="43" t="s">
        <v>2092</v>
      </c>
      <c r="C50" s="43">
        <v>0.45</v>
      </c>
      <c r="D50" s="43" t="s">
        <v>1353</v>
      </c>
      <c r="E50" s="43" t="s">
        <v>2452</v>
      </c>
      <c r="F50" s="44" t="s">
        <v>1601</v>
      </c>
      <c r="G50" s="43" t="s">
        <v>1342</v>
      </c>
      <c r="H50" s="43" t="s">
        <v>1240</v>
      </c>
      <c r="I50" s="43" t="s">
        <v>1240</v>
      </c>
      <c r="J50" s="43"/>
      <c r="K50" s="43" t="s">
        <v>51</v>
      </c>
      <c r="L50" s="45" t="str">
        <f t="shared" si="0"/>
        <v>W.OAK 0.45xNONx2550+mm Z QC Z</v>
      </c>
    </row>
    <row r="51" spans="1:12" ht="13.2">
      <c r="A51" s="43" t="s">
        <v>2507</v>
      </c>
      <c r="B51" s="43" t="s">
        <v>2092</v>
      </c>
      <c r="C51" s="43">
        <v>0.45</v>
      </c>
      <c r="D51" s="43" t="s">
        <v>1353</v>
      </c>
      <c r="E51" s="43" t="s">
        <v>2450</v>
      </c>
      <c r="F51" s="44" t="s">
        <v>1240</v>
      </c>
      <c r="G51" s="43" t="s">
        <v>2473</v>
      </c>
      <c r="H51" s="43" t="s">
        <v>1244</v>
      </c>
      <c r="I51" s="43" t="s">
        <v>1240</v>
      </c>
      <c r="J51" s="43"/>
      <c r="K51" s="43" t="s">
        <v>51</v>
      </c>
      <c r="L51" s="45" t="str">
        <f t="shared" si="0"/>
        <v>W.OAK 0.45xNONx2500+mm #2 Rift Z</v>
      </c>
    </row>
    <row r="52" spans="1:12" ht="13.2">
      <c r="A52" s="43" t="s">
        <v>2508</v>
      </c>
      <c r="B52" s="43" t="s">
        <v>2092</v>
      </c>
      <c r="C52" s="43">
        <v>0.45</v>
      </c>
      <c r="D52" s="43" t="s">
        <v>1353</v>
      </c>
      <c r="E52" s="43" t="s">
        <v>2450</v>
      </c>
      <c r="F52" s="44" t="s">
        <v>1240</v>
      </c>
      <c r="G52" s="43" t="s">
        <v>2473</v>
      </c>
      <c r="H52" s="43" t="s">
        <v>1137</v>
      </c>
      <c r="I52" s="43" t="s">
        <v>1240</v>
      </c>
      <c r="J52" s="43"/>
      <c r="K52" s="43" t="s">
        <v>51</v>
      </c>
      <c r="L52" s="45" t="str">
        <f t="shared" si="0"/>
        <v>W.OAK 0.45xNONx2500+mm B Rift Z</v>
      </c>
    </row>
    <row r="53" spans="1:12" ht="13.2">
      <c r="A53" s="43" t="s">
        <v>2509</v>
      </c>
      <c r="B53" s="43" t="s">
        <v>2092</v>
      </c>
      <c r="C53" s="43">
        <v>0.5</v>
      </c>
      <c r="D53" s="43" t="s">
        <v>1353</v>
      </c>
      <c r="E53" s="43" t="s">
        <v>2450</v>
      </c>
      <c r="F53" s="44" t="s">
        <v>1240</v>
      </c>
      <c r="G53" s="43" t="s">
        <v>1222</v>
      </c>
      <c r="H53" s="43" t="s">
        <v>1244</v>
      </c>
      <c r="I53" s="43" t="s">
        <v>1240</v>
      </c>
      <c r="J53" s="43"/>
      <c r="K53" s="43" t="s">
        <v>51</v>
      </c>
      <c r="L53" s="45" t="str">
        <f t="shared" si="0"/>
        <v>W.OAK 0.5xNONx2500+mm #2 PC Z</v>
      </c>
    </row>
    <row r="54" spans="1:12" ht="13.2">
      <c r="A54" s="43" t="s">
        <v>2510</v>
      </c>
      <c r="B54" s="43" t="s">
        <v>2092</v>
      </c>
      <c r="C54" s="43">
        <v>0.5</v>
      </c>
      <c r="D54" s="43" t="s">
        <v>1353</v>
      </c>
      <c r="E54" s="43" t="s">
        <v>2450</v>
      </c>
      <c r="F54" s="44" t="s">
        <v>1240</v>
      </c>
      <c r="G54" s="43" t="s">
        <v>1222</v>
      </c>
      <c r="H54" s="43" t="s">
        <v>49</v>
      </c>
      <c r="I54" s="43" t="s">
        <v>1240</v>
      </c>
      <c r="J54" s="43"/>
      <c r="K54" s="43" t="s">
        <v>51</v>
      </c>
      <c r="L54" s="45" t="str">
        <f t="shared" si="0"/>
        <v>W.OAK 0.5xNONx2500+mm A PC Z</v>
      </c>
    </row>
    <row r="55" spans="1:12" ht="13.2">
      <c r="A55" s="47" t="s">
        <v>2511</v>
      </c>
      <c r="B55" s="47" t="s">
        <v>2092</v>
      </c>
      <c r="C55" s="47">
        <v>0.5</v>
      </c>
      <c r="D55" s="47" t="s">
        <v>1353</v>
      </c>
      <c r="E55" s="47" t="s">
        <v>2450</v>
      </c>
      <c r="F55" s="48" t="s">
        <v>1240</v>
      </c>
      <c r="G55" s="47" t="s">
        <v>1222</v>
      </c>
      <c r="H55" s="47" t="s">
        <v>2512</v>
      </c>
      <c r="I55" s="47" t="s">
        <v>1240</v>
      </c>
      <c r="J55" s="47"/>
      <c r="K55" s="47" t="s">
        <v>51</v>
      </c>
      <c r="L55" s="45" t="str">
        <f t="shared" si="0"/>
        <v>W.OAK 0.5xNONx2500+mm AAA PC Z</v>
      </c>
    </row>
    <row r="56" spans="1:12" ht="13.2">
      <c r="A56" s="47" t="s">
        <v>2513</v>
      </c>
      <c r="B56" s="47" t="s">
        <v>2092</v>
      </c>
      <c r="C56" s="47">
        <v>0.5</v>
      </c>
      <c r="D56" s="47" t="s">
        <v>1353</v>
      </c>
      <c r="E56" s="47" t="s">
        <v>2452</v>
      </c>
      <c r="F56" s="48" t="s">
        <v>1240</v>
      </c>
      <c r="G56" s="47" t="s">
        <v>1222</v>
      </c>
      <c r="H56" s="47" t="s">
        <v>1150</v>
      </c>
      <c r="I56" s="47" t="s">
        <v>1240</v>
      </c>
      <c r="J56" s="47"/>
      <c r="K56" s="47" t="s">
        <v>51</v>
      </c>
      <c r="L56" s="45" t="str">
        <f t="shared" si="0"/>
        <v>W.OAK 0.5xNONx2550+mm AB PC Z</v>
      </c>
    </row>
    <row r="57" spans="1:12" ht="13.2">
      <c r="A57" s="47" t="s">
        <v>2514</v>
      </c>
      <c r="B57" s="47" t="s">
        <v>2092</v>
      </c>
      <c r="C57" s="47">
        <v>0.5</v>
      </c>
      <c r="D57" s="47" t="s">
        <v>1353</v>
      </c>
      <c r="E57" s="47" t="s">
        <v>2450</v>
      </c>
      <c r="F57" s="48" t="s">
        <v>1240</v>
      </c>
      <c r="G57" s="47" t="s">
        <v>1222</v>
      </c>
      <c r="H57" s="47" t="s">
        <v>1137</v>
      </c>
      <c r="I57" s="47" t="s">
        <v>1240</v>
      </c>
      <c r="J57" s="47" t="s">
        <v>1122</v>
      </c>
      <c r="K57" s="47" t="s">
        <v>51</v>
      </c>
      <c r="L57" s="45" t="str">
        <f t="shared" si="0"/>
        <v>W.OAK 0.5xNONx2500+mm B PC Z</v>
      </c>
    </row>
    <row r="58" spans="1:12" ht="13.2">
      <c r="A58" s="43" t="s">
        <v>2515</v>
      </c>
      <c r="B58" s="43" t="s">
        <v>2092</v>
      </c>
      <c r="C58" s="43">
        <v>0.5</v>
      </c>
      <c r="D58" s="43" t="s">
        <v>1353</v>
      </c>
      <c r="E58" s="43" t="s">
        <v>2452</v>
      </c>
      <c r="F58" s="44" t="s">
        <v>1620</v>
      </c>
      <c r="G58" s="43" t="s">
        <v>1222</v>
      </c>
      <c r="H58" s="43" t="s">
        <v>2462</v>
      </c>
      <c r="I58" s="43" t="s">
        <v>1240</v>
      </c>
      <c r="J58" s="43" t="s">
        <v>1122</v>
      </c>
      <c r="K58" s="43" t="s">
        <v>51</v>
      </c>
      <c r="L58" s="45" t="str">
        <f t="shared" si="0"/>
        <v>W.OAK 0.5xNONx2550+mm Panel A PC Z</v>
      </c>
    </row>
    <row r="59" spans="1:12" ht="13.2">
      <c r="A59" s="43" t="s">
        <v>2516</v>
      </c>
      <c r="B59" s="43" t="s">
        <v>2092</v>
      </c>
      <c r="C59" s="43">
        <v>0.5</v>
      </c>
      <c r="D59" s="43" t="s">
        <v>1353</v>
      </c>
      <c r="E59" s="43" t="s">
        <v>2485</v>
      </c>
      <c r="F59" s="44" t="s">
        <v>1240</v>
      </c>
      <c r="G59" s="43" t="s">
        <v>1222</v>
      </c>
      <c r="H59" s="43" t="s">
        <v>2462</v>
      </c>
      <c r="I59" s="43" t="s">
        <v>1240</v>
      </c>
      <c r="J59" s="43" t="s">
        <v>1122</v>
      </c>
      <c r="K59" s="43" t="s">
        <v>51</v>
      </c>
      <c r="L59" s="45" t="str">
        <f t="shared" si="0"/>
        <v>W.OAK 0.5xNONx2250/3050mm Panel A PC Z</v>
      </c>
    </row>
    <row r="60" spans="1:12" ht="13.2">
      <c r="A60" s="47" t="s">
        <v>2517</v>
      </c>
      <c r="B60" s="47" t="s">
        <v>2092</v>
      </c>
      <c r="C60" s="47">
        <v>0.5</v>
      </c>
      <c r="D60" s="47" t="s">
        <v>1353</v>
      </c>
      <c r="E60" s="47" t="s">
        <v>2485</v>
      </c>
      <c r="F60" s="48" t="s">
        <v>1240</v>
      </c>
      <c r="G60" s="47" t="s">
        <v>1222</v>
      </c>
      <c r="H60" s="47" t="s">
        <v>2489</v>
      </c>
      <c r="I60" s="47" t="s">
        <v>1240</v>
      </c>
      <c r="J60" s="47" t="s">
        <v>1122</v>
      </c>
      <c r="K60" s="47" t="s">
        <v>51</v>
      </c>
      <c r="L60" s="45" t="str">
        <f t="shared" si="0"/>
        <v>W.OAK 0.5xNONx2250/3050mm Panel AB PC Z</v>
      </c>
    </row>
    <row r="61" spans="1:12" ht="13.2">
      <c r="A61" s="43" t="s">
        <v>2518</v>
      </c>
      <c r="B61" s="43" t="s">
        <v>2092</v>
      </c>
      <c r="C61" s="43">
        <v>0.5</v>
      </c>
      <c r="D61" s="43" t="s">
        <v>1353</v>
      </c>
      <c r="E61" s="43">
        <v>2500</v>
      </c>
      <c r="F61" s="44" t="s">
        <v>1240</v>
      </c>
      <c r="G61" s="43" t="s">
        <v>1222</v>
      </c>
      <c r="H61" s="43" t="s">
        <v>1240</v>
      </c>
      <c r="I61" s="43" t="s">
        <v>2440</v>
      </c>
      <c r="J61" s="43" t="s">
        <v>1122</v>
      </c>
      <c r="K61" s="43" t="s">
        <v>1354</v>
      </c>
      <c r="L61" s="45" t="str">
        <f t="shared" si="0"/>
        <v>W.OAK 0.5xNONx2500mm Z PC P AA</v>
      </c>
    </row>
    <row r="62" spans="1:12" ht="13.2">
      <c r="A62" s="43" t="s">
        <v>2519</v>
      </c>
      <c r="B62" s="43" t="s">
        <v>2092</v>
      </c>
      <c r="C62" s="43">
        <v>0.5</v>
      </c>
      <c r="D62" s="43" t="s">
        <v>1353</v>
      </c>
      <c r="E62" s="43">
        <v>2500</v>
      </c>
      <c r="F62" s="44" t="s">
        <v>1240</v>
      </c>
      <c r="G62" s="43" t="s">
        <v>1222</v>
      </c>
      <c r="H62" s="43" t="s">
        <v>1240</v>
      </c>
      <c r="I62" s="43" t="s">
        <v>2444</v>
      </c>
      <c r="J62" s="43" t="s">
        <v>1122</v>
      </c>
      <c r="K62" s="43" t="s">
        <v>1354</v>
      </c>
      <c r="L62" s="45" t="str">
        <f t="shared" si="0"/>
        <v>W.OAK 0.5xNONx2500mm Z PC PT J8</v>
      </c>
    </row>
    <row r="63" spans="1:12" ht="13.2">
      <c r="A63" s="43" t="s">
        <v>2520</v>
      </c>
      <c r="B63" s="43" t="s">
        <v>2092</v>
      </c>
      <c r="C63" s="43">
        <v>0.5</v>
      </c>
      <c r="D63" s="43" t="s">
        <v>1353</v>
      </c>
      <c r="E63" s="43" t="s">
        <v>2472</v>
      </c>
      <c r="F63" s="44" t="s">
        <v>1240</v>
      </c>
      <c r="G63" s="43" t="s">
        <v>1222</v>
      </c>
      <c r="H63" s="43" t="s">
        <v>1240</v>
      </c>
      <c r="I63" s="43" t="s">
        <v>1240</v>
      </c>
      <c r="J63" s="43"/>
      <c r="K63" s="43" t="s">
        <v>51</v>
      </c>
      <c r="L63" s="45" t="str">
        <f t="shared" si="0"/>
        <v>W.OAK 0.5xNONx2500/3500mm Z PC Z</v>
      </c>
    </row>
    <row r="64" spans="1:12" ht="13.2">
      <c r="A64" s="47" t="s">
        <v>2521</v>
      </c>
      <c r="B64" s="47" t="s">
        <v>2092</v>
      </c>
      <c r="C64" s="47">
        <v>0.5</v>
      </c>
      <c r="D64" s="47" t="s">
        <v>1353</v>
      </c>
      <c r="E64" s="47" t="s">
        <v>2452</v>
      </c>
      <c r="F64" s="48" t="s">
        <v>1620</v>
      </c>
      <c r="G64" s="47" t="s">
        <v>1342</v>
      </c>
      <c r="H64" s="47" t="s">
        <v>2462</v>
      </c>
      <c r="I64" s="47" t="s">
        <v>1240</v>
      </c>
      <c r="J64" s="47" t="s">
        <v>1122</v>
      </c>
      <c r="K64" s="47" t="s">
        <v>51</v>
      </c>
      <c r="L64" s="45" t="str">
        <f t="shared" si="0"/>
        <v>W.OAK 0.5xNONx2550+mm Panel A QC Z</v>
      </c>
    </row>
    <row r="65" spans="1:12" ht="13.2">
      <c r="A65" s="43" t="s">
        <v>2522</v>
      </c>
      <c r="B65" s="43" t="s">
        <v>2092</v>
      </c>
      <c r="C65" s="43">
        <v>0.5</v>
      </c>
      <c r="D65" s="43" t="s">
        <v>1353</v>
      </c>
      <c r="E65" s="43" t="s">
        <v>2452</v>
      </c>
      <c r="F65" s="44" t="s">
        <v>1620</v>
      </c>
      <c r="G65" s="43" t="s">
        <v>1342</v>
      </c>
      <c r="H65" s="43" t="s">
        <v>2487</v>
      </c>
      <c r="I65" s="43" t="s">
        <v>1240</v>
      </c>
      <c r="J65" s="43" t="s">
        <v>1122</v>
      </c>
      <c r="K65" s="43" t="s">
        <v>51</v>
      </c>
      <c r="L65" s="45" t="str">
        <f t="shared" si="0"/>
        <v>W.OAK 0.5xNONx2550+mm Panel AA QC Z</v>
      </c>
    </row>
    <row r="66" spans="1:12" ht="13.2">
      <c r="A66" s="43" t="s">
        <v>2523</v>
      </c>
      <c r="B66" s="43" t="s">
        <v>2092</v>
      </c>
      <c r="C66" s="43">
        <v>0.5</v>
      </c>
      <c r="D66" s="43" t="s">
        <v>1353</v>
      </c>
      <c r="E66" s="43" t="s">
        <v>2450</v>
      </c>
      <c r="F66" s="44" t="s">
        <v>1240</v>
      </c>
      <c r="G66" s="43" t="s">
        <v>2473</v>
      </c>
      <c r="H66" s="43" t="s">
        <v>1109</v>
      </c>
      <c r="I66" s="43" t="s">
        <v>1240</v>
      </c>
      <c r="J66" s="43"/>
      <c r="K66" s="43" t="s">
        <v>51</v>
      </c>
      <c r="L66" s="45" t="str">
        <f t="shared" si="0"/>
        <v>W.OAK 0.5xNONx2500+mm #1 Rift Z</v>
      </c>
    </row>
    <row r="67" spans="1:12" ht="13.2">
      <c r="A67" s="47" t="s">
        <v>2524</v>
      </c>
      <c r="B67" s="47" t="s">
        <v>2092</v>
      </c>
      <c r="C67" s="47">
        <v>0.5</v>
      </c>
      <c r="D67" s="47" t="s">
        <v>1353</v>
      </c>
      <c r="E67" s="47" t="s">
        <v>2450</v>
      </c>
      <c r="F67" s="48" t="s">
        <v>1240</v>
      </c>
      <c r="G67" s="47" t="s">
        <v>2473</v>
      </c>
      <c r="H67" s="47" t="s">
        <v>1244</v>
      </c>
      <c r="I67" s="47" t="s">
        <v>1240</v>
      </c>
      <c r="J67" s="47"/>
      <c r="K67" s="47" t="s">
        <v>51</v>
      </c>
      <c r="L67" s="45" t="str">
        <f t="shared" si="0"/>
        <v>W.OAK 0.5xNONx2500+mm #2 Rift Z</v>
      </c>
    </row>
    <row r="68" spans="1:12" ht="13.2">
      <c r="A68" s="47" t="s">
        <v>2525</v>
      </c>
      <c r="B68" s="47" t="s">
        <v>2092</v>
      </c>
      <c r="C68" s="47">
        <v>0.5</v>
      </c>
      <c r="D68" s="47" t="s">
        <v>1353</v>
      </c>
      <c r="E68" s="47" t="s">
        <v>2452</v>
      </c>
      <c r="F68" s="48" t="s">
        <v>1620</v>
      </c>
      <c r="G68" s="47" t="s">
        <v>2473</v>
      </c>
      <c r="H68" s="47" t="s">
        <v>49</v>
      </c>
      <c r="I68" s="47" t="s">
        <v>1240</v>
      </c>
      <c r="J68" s="47" t="s">
        <v>1122</v>
      </c>
      <c r="K68" s="47" t="s">
        <v>51</v>
      </c>
      <c r="L68" s="45" t="str">
        <f t="shared" ref="L68:L96" si="1">B68&amp;" "&amp;C68&amp;"x"&amp;D68&amp;"x"&amp;E68&amp;"mm "&amp;H68&amp;" "&amp;G68&amp;" "&amp;I68</f>
        <v>W.OAK 0.5xNONx2550+mm A Rift Z</v>
      </c>
    </row>
    <row r="69" spans="1:12" ht="13.2">
      <c r="A69" s="47" t="s">
        <v>2526</v>
      </c>
      <c r="B69" s="47" t="s">
        <v>2092</v>
      </c>
      <c r="C69" s="47">
        <v>0.5</v>
      </c>
      <c r="D69" s="47" t="s">
        <v>1353</v>
      </c>
      <c r="E69" s="47" t="s">
        <v>2450</v>
      </c>
      <c r="F69" s="48" t="s">
        <v>1240</v>
      </c>
      <c r="G69" s="47" t="s">
        <v>2473</v>
      </c>
      <c r="H69" s="47" t="s">
        <v>49</v>
      </c>
      <c r="I69" s="47" t="s">
        <v>1240</v>
      </c>
      <c r="J69" s="47"/>
      <c r="K69" s="47" t="s">
        <v>51</v>
      </c>
      <c r="L69" s="45" t="str">
        <f t="shared" si="1"/>
        <v>W.OAK 0.5xNONx2500+mm A Rift Z</v>
      </c>
    </row>
    <row r="70" spans="1:12" ht="13.2">
      <c r="A70" s="43" t="s">
        <v>2527</v>
      </c>
      <c r="B70" s="43" t="s">
        <v>2092</v>
      </c>
      <c r="C70" s="43">
        <v>0.5</v>
      </c>
      <c r="D70" s="43" t="s">
        <v>1353</v>
      </c>
      <c r="E70" s="43" t="s">
        <v>2450</v>
      </c>
      <c r="F70" s="44" t="s">
        <v>1240</v>
      </c>
      <c r="G70" s="43" t="s">
        <v>2473</v>
      </c>
      <c r="H70" s="43" t="s">
        <v>2278</v>
      </c>
      <c r="I70" s="43" t="s">
        <v>1240</v>
      </c>
      <c r="J70" s="43" t="s">
        <v>1122</v>
      </c>
      <c r="K70" s="43" t="s">
        <v>51</v>
      </c>
      <c r="L70" s="45" t="str">
        <f t="shared" si="1"/>
        <v>W.OAK 0.5xNONx2500+mm A+ Rift Z</v>
      </c>
    </row>
    <row r="71" spans="1:12" ht="13.2">
      <c r="A71" s="43" t="s">
        <v>2528</v>
      </c>
      <c r="B71" s="43" t="s">
        <v>2092</v>
      </c>
      <c r="C71" s="43">
        <v>0.5</v>
      </c>
      <c r="D71" s="43" t="s">
        <v>1353</v>
      </c>
      <c r="E71" s="43" t="s">
        <v>2450</v>
      </c>
      <c r="F71" s="44" t="s">
        <v>1240</v>
      </c>
      <c r="G71" s="43" t="s">
        <v>2473</v>
      </c>
      <c r="H71" s="43" t="s">
        <v>1633</v>
      </c>
      <c r="I71" s="43" t="s">
        <v>1240</v>
      </c>
      <c r="J71" s="43"/>
      <c r="K71" s="43" t="s">
        <v>51</v>
      </c>
      <c r="L71" s="45" t="str">
        <f t="shared" si="1"/>
        <v>W.OAK 0.5xNONx2500+mm AA Rift Z</v>
      </c>
    </row>
    <row r="72" spans="1:12" ht="13.5" customHeight="1">
      <c r="A72" s="47" t="s">
        <v>2529</v>
      </c>
      <c r="B72" s="47" t="s">
        <v>2092</v>
      </c>
      <c r="C72" s="47">
        <v>0.5</v>
      </c>
      <c r="D72" s="47" t="s">
        <v>1353</v>
      </c>
      <c r="E72" s="47" t="s">
        <v>2452</v>
      </c>
      <c r="F72" s="48" t="s">
        <v>1240</v>
      </c>
      <c r="G72" s="47" t="s">
        <v>2473</v>
      </c>
      <c r="H72" s="47" t="s">
        <v>1150</v>
      </c>
      <c r="I72" s="47" t="s">
        <v>1240</v>
      </c>
      <c r="J72" s="47"/>
      <c r="K72" s="47" t="s">
        <v>51</v>
      </c>
      <c r="L72" s="45" t="str">
        <f t="shared" si="1"/>
        <v>W.OAK 0.5xNONx2550+mm AB Rift Z</v>
      </c>
    </row>
    <row r="73" spans="1:12" ht="13.5" customHeight="1">
      <c r="A73" s="43" t="s">
        <v>1139</v>
      </c>
      <c r="B73" s="43" t="s">
        <v>2092</v>
      </c>
      <c r="C73" s="43">
        <v>0.5</v>
      </c>
      <c r="D73" s="43" t="s">
        <v>1353</v>
      </c>
      <c r="E73" s="43">
        <v>2500</v>
      </c>
      <c r="F73" s="44" t="s">
        <v>1240</v>
      </c>
      <c r="G73" s="43" t="s">
        <v>1679</v>
      </c>
      <c r="H73" s="43" t="s">
        <v>1147</v>
      </c>
      <c r="I73" s="43" t="s">
        <v>1240</v>
      </c>
      <c r="J73" s="43" t="s">
        <v>1122</v>
      </c>
      <c r="K73" s="43" t="s">
        <v>1354</v>
      </c>
      <c r="L73" s="45" t="str">
        <f t="shared" si="1"/>
        <v>W.OAK 0.5xNONx2500mm PAA RIFT Z</v>
      </c>
    </row>
    <row r="74" spans="1:12" ht="13.5" customHeight="1">
      <c r="A74" s="43" t="s">
        <v>2530</v>
      </c>
      <c r="B74" s="43" t="s">
        <v>2092</v>
      </c>
      <c r="C74" s="43">
        <v>0.5</v>
      </c>
      <c r="D74" s="43" t="s">
        <v>1353</v>
      </c>
      <c r="E74" s="43" t="s">
        <v>2472</v>
      </c>
      <c r="F74" s="44" t="s">
        <v>1240</v>
      </c>
      <c r="G74" s="43" t="s">
        <v>1679</v>
      </c>
      <c r="H74" s="43" t="s">
        <v>2531</v>
      </c>
      <c r="I74" s="43" t="s">
        <v>1240</v>
      </c>
      <c r="J74" s="43" t="s">
        <v>1122</v>
      </c>
      <c r="K74" s="43" t="s">
        <v>1354</v>
      </c>
      <c r="L74" s="45" t="str">
        <f t="shared" si="1"/>
        <v>W.OAK 0.5xNONx2500/3500mm PAJ10 RIFT Z</v>
      </c>
    </row>
    <row r="75" spans="1:12" ht="13.5" customHeight="1">
      <c r="A75" s="43" t="s">
        <v>1140</v>
      </c>
      <c r="B75" s="43" t="s">
        <v>2092</v>
      </c>
      <c r="C75" s="43">
        <v>0.5</v>
      </c>
      <c r="D75" s="43" t="s">
        <v>1353</v>
      </c>
      <c r="E75" s="43">
        <v>2500</v>
      </c>
      <c r="F75" s="44" t="s">
        <v>1240</v>
      </c>
      <c r="G75" s="43" t="s">
        <v>1679</v>
      </c>
      <c r="H75" s="43" t="s">
        <v>1148</v>
      </c>
      <c r="I75" s="43" t="s">
        <v>1240</v>
      </c>
      <c r="J75" s="43" t="s">
        <v>1122</v>
      </c>
      <c r="K75" s="43" t="s">
        <v>1354</v>
      </c>
      <c r="L75" s="45" t="str">
        <f t="shared" si="1"/>
        <v>W.OAK 0.5xNONx2500mm PB RIFT Z</v>
      </c>
    </row>
    <row r="76" spans="1:12" ht="13.5" customHeight="1">
      <c r="A76" s="46" t="s">
        <v>1143</v>
      </c>
      <c r="B76" s="43" t="s">
        <v>2092</v>
      </c>
      <c r="C76" s="43">
        <v>0.4</v>
      </c>
      <c r="D76" s="43" t="s">
        <v>1353</v>
      </c>
      <c r="E76" s="43">
        <v>2500</v>
      </c>
      <c r="F76" s="44" t="s">
        <v>1240</v>
      </c>
      <c r="G76" s="43" t="s">
        <v>1222</v>
      </c>
      <c r="H76" s="43" t="s">
        <v>1149</v>
      </c>
      <c r="I76" s="43" t="s">
        <v>1240</v>
      </c>
      <c r="J76" s="43"/>
      <c r="K76" s="43" t="s">
        <v>1354</v>
      </c>
      <c r="L76" s="45" t="str">
        <f t="shared" si="1"/>
        <v>W.OAK 0.4xNONx2500mm PA PC Z</v>
      </c>
    </row>
    <row r="77" spans="1:12" ht="13.5" customHeight="1">
      <c r="A77" s="43" t="s">
        <v>2532</v>
      </c>
      <c r="B77" s="43" t="s">
        <v>2092</v>
      </c>
      <c r="C77" s="43">
        <v>0.5</v>
      </c>
      <c r="D77" s="43" t="s">
        <v>1353</v>
      </c>
      <c r="E77" s="43" t="s">
        <v>2472</v>
      </c>
      <c r="F77" s="44" t="s">
        <v>1240</v>
      </c>
      <c r="G77" s="43" t="s">
        <v>1679</v>
      </c>
      <c r="H77" s="43" t="s">
        <v>2533</v>
      </c>
      <c r="I77" s="43" t="s">
        <v>1240</v>
      </c>
      <c r="J77" s="43" t="s">
        <v>1122</v>
      </c>
      <c r="K77" s="43" t="s">
        <v>1354</v>
      </c>
      <c r="L77" s="45" t="str">
        <f t="shared" si="1"/>
        <v>W.OAK 0.5xNONx2500/3500mm PT J10 RIFT Z</v>
      </c>
    </row>
    <row r="78" spans="1:12" ht="13.5" customHeight="1">
      <c r="A78" s="43" t="s">
        <v>2534</v>
      </c>
      <c r="B78" s="43" t="s">
        <v>2092</v>
      </c>
      <c r="C78" s="43">
        <v>0.5</v>
      </c>
      <c r="D78" s="43" t="s">
        <v>1353</v>
      </c>
      <c r="E78" s="43">
        <v>2500</v>
      </c>
      <c r="F78" s="44" t="s">
        <v>1240</v>
      </c>
      <c r="G78" s="43" t="s">
        <v>1679</v>
      </c>
      <c r="H78" s="43" t="s">
        <v>1240</v>
      </c>
      <c r="I78" s="43" t="s">
        <v>2535</v>
      </c>
      <c r="J78" s="43" t="s">
        <v>1122</v>
      </c>
      <c r="K78" s="43" t="s">
        <v>1354</v>
      </c>
      <c r="L78" s="45" t="str">
        <f t="shared" si="1"/>
        <v xml:space="preserve">W.OAK 0.5xNONx2500mm Z RIFT P B </v>
      </c>
    </row>
    <row r="79" spans="1:12" ht="13.5" customHeight="1">
      <c r="A79" s="43" t="s">
        <v>2536</v>
      </c>
      <c r="B79" s="43" t="s">
        <v>2092</v>
      </c>
      <c r="C79" s="43">
        <v>0.5</v>
      </c>
      <c r="D79" s="43" t="s">
        <v>1353</v>
      </c>
      <c r="E79" s="43">
        <v>2500</v>
      </c>
      <c r="F79" s="44" t="s">
        <v>1240</v>
      </c>
      <c r="G79" s="43" t="s">
        <v>1679</v>
      </c>
      <c r="H79" s="43" t="s">
        <v>1240</v>
      </c>
      <c r="I79" s="43" t="s">
        <v>2444</v>
      </c>
      <c r="J79" s="43" t="s">
        <v>1122</v>
      </c>
      <c r="K79" s="43" t="s">
        <v>1354</v>
      </c>
      <c r="L79" s="45" t="str">
        <f t="shared" si="1"/>
        <v>W.OAK 0.5xNONx2500mm Z RIFT PT J8</v>
      </c>
    </row>
    <row r="80" spans="1:12" ht="13.5" customHeight="1">
      <c r="A80" s="43" t="s">
        <v>2537</v>
      </c>
      <c r="B80" s="43" t="s">
        <v>2092</v>
      </c>
      <c r="C80" s="43">
        <v>0.5</v>
      </c>
      <c r="D80" s="43" t="s">
        <v>1353</v>
      </c>
      <c r="E80" s="43" t="s">
        <v>2472</v>
      </c>
      <c r="F80" s="44" t="s">
        <v>1240</v>
      </c>
      <c r="G80" s="43" t="s">
        <v>2473</v>
      </c>
      <c r="H80" s="43" t="s">
        <v>1240</v>
      </c>
      <c r="I80" s="43" t="s">
        <v>1240</v>
      </c>
      <c r="J80" s="43"/>
      <c r="K80" s="43" t="s">
        <v>51</v>
      </c>
      <c r="L80" s="45" t="str">
        <f t="shared" si="1"/>
        <v>W.OAK 0.5xNONx2500/3500mm Z Rift Z</v>
      </c>
    </row>
    <row r="81" spans="1:12" ht="13.5" customHeight="1">
      <c r="A81" s="47" t="s">
        <v>2538</v>
      </c>
      <c r="B81" s="47" t="s">
        <v>2092</v>
      </c>
      <c r="C81" s="47">
        <v>0.5</v>
      </c>
      <c r="D81" s="47" t="s">
        <v>1353</v>
      </c>
      <c r="E81" s="47" t="s">
        <v>2447</v>
      </c>
      <c r="F81" s="48" t="s">
        <v>1620</v>
      </c>
      <c r="G81" s="47" t="s">
        <v>1240</v>
      </c>
      <c r="H81" s="47" t="s">
        <v>2539</v>
      </c>
      <c r="I81" s="47" t="s">
        <v>1240</v>
      </c>
      <c r="J81" s="47"/>
      <c r="K81" s="47" t="s">
        <v>51</v>
      </c>
      <c r="L81" s="45" t="str">
        <f t="shared" si="1"/>
        <v>W.OAK 0.5xNONxNaturalmm DR Z Z</v>
      </c>
    </row>
    <row r="82" spans="1:12" ht="13.5" customHeight="1">
      <c r="A82" s="43" t="s">
        <v>2540</v>
      </c>
      <c r="B82" s="43" t="s">
        <v>2092</v>
      </c>
      <c r="C82" s="43">
        <v>0.5</v>
      </c>
      <c r="D82" s="43" t="s">
        <v>1353</v>
      </c>
      <c r="E82" s="43" t="s">
        <v>2447</v>
      </c>
      <c r="F82" s="44" t="s">
        <v>1620</v>
      </c>
      <c r="G82" s="43" t="s">
        <v>1240</v>
      </c>
      <c r="H82" s="43" t="s">
        <v>2541</v>
      </c>
      <c r="I82" s="43" t="s">
        <v>1240</v>
      </c>
      <c r="J82" s="43"/>
      <c r="K82" s="43" t="s">
        <v>51</v>
      </c>
      <c r="L82" s="45" t="str">
        <f t="shared" si="1"/>
        <v>W.OAK 0.5xNONxNaturalmm EE Z Z</v>
      </c>
    </row>
    <row r="83" spans="1:12" ht="13.5" customHeight="1">
      <c r="A83" s="47" t="s">
        <v>2542</v>
      </c>
      <c r="B83" s="47" t="s">
        <v>2092</v>
      </c>
      <c r="C83" s="47">
        <v>0.5</v>
      </c>
      <c r="D83" s="47" t="s">
        <v>1353</v>
      </c>
      <c r="E83" s="47" t="s">
        <v>2447</v>
      </c>
      <c r="F83" s="48" t="s">
        <v>1620</v>
      </c>
      <c r="G83" s="47" t="s">
        <v>1240</v>
      </c>
      <c r="H83" s="47" t="s">
        <v>2543</v>
      </c>
      <c r="I83" s="47" t="s">
        <v>1240</v>
      </c>
      <c r="J83" s="47"/>
      <c r="K83" s="47" t="s">
        <v>51</v>
      </c>
      <c r="L83" s="45" t="str">
        <f t="shared" si="1"/>
        <v>W.OAK 0.5xNONxNaturalmm P-10 Z Z</v>
      </c>
    </row>
    <row r="84" spans="1:12" ht="13.5" customHeight="1">
      <c r="A84" s="43" t="s">
        <v>2544</v>
      </c>
      <c r="B84" s="43" t="s">
        <v>2092</v>
      </c>
      <c r="C84" s="43">
        <v>0.5</v>
      </c>
      <c r="D84" s="43" t="s">
        <v>1353</v>
      </c>
      <c r="E84" s="43" t="s">
        <v>2447</v>
      </c>
      <c r="F84" s="44" t="s">
        <v>1620</v>
      </c>
      <c r="G84" s="43" t="s">
        <v>1240</v>
      </c>
      <c r="H84" s="43" t="s">
        <v>2545</v>
      </c>
      <c r="I84" s="43" t="s">
        <v>1240</v>
      </c>
      <c r="J84" s="43"/>
      <c r="K84" s="43" t="s">
        <v>51</v>
      </c>
      <c r="L84" s="45" t="str">
        <f t="shared" si="1"/>
        <v>W.OAK 0.5xNONxNaturalmm P-AB Z Z</v>
      </c>
    </row>
    <row r="85" spans="1:12" ht="13.5" customHeight="1">
      <c r="A85" s="47" t="s">
        <v>2546</v>
      </c>
      <c r="B85" s="47" t="s">
        <v>2547</v>
      </c>
      <c r="C85" s="47">
        <v>0.42</v>
      </c>
      <c r="D85" s="47" t="s">
        <v>1353</v>
      </c>
      <c r="E85" s="47" t="s">
        <v>2450</v>
      </c>
      <c r="F85" s="48" t="s">
        <v>1240</v>
      </c>
      <c r="G85" s="47" t="s">
        <v>1222</v>
      </c>
      <c r="H85" s="47" t="s">
        <v>49</v>
      </c>
      <c r="I85" s="47" t="s">
        <v>1240</v>
      </c>
      <c r="J85" s="47"/>
      <c r="K85" s="47" t="s">
        <v>51</v>
      </c>
      <c r="L85" s="45" t="str">
        <f t="shared" si="1"/>
        <v>Walnut 0.42xNONx2500+mm A PC Z</v>
      </c>
    </row>
    <row r="86" spans="1:12" ht="13.5" customHeight="1">
      <c r="A86" s="43" t="s">
        <v>2548</v>
      </c>
      <c r="B86" s="43" t="s">
        <v>2547</v>
      </c>
      <c r="C86" s="43">
        <v>0.45</v>
      </c>
      <c r="D86" s="43" t="s">
        <v>1353</v>
      </c>
      <c r="E86" s="43" t="s">
        <v>2452</v>
      </c>
      <c r="F86" s="44" t="s">
        <v>1240</v>
      </c>
      <c r="G86" s="43" t="s">
        <v>1222</v>
      </c>
      <c r="H86" s="44" t="s">
        <v>1601</v>
      </c>
      <c r="I86" s="43" t="s">
        <v>1240</v>
      </c>
      <c r="J86" s="43"/>
      <c r="K86" s="43" t="s">
        <v>51</v>
      </c>
      <c r="L86" s="45" t="str">
        <f t="shared" si="1"/>
        <v>Walnut 0.45xNONx2550+mm Back PC Z</v>
      </c>
    </row>
    <row r="87" spans="1:12" ht="13.5" customHeight="1">
      <c r="A87" s="47" t="s">
        <v>2549</v>
      </c>
      <c r="B87" s="47" t="s">
        <v>2547</v>
      </c>
      <c r="C87" s="47">
        <v>0.5</v>
      </c>
      <c r="D87" s="47" t="s">
        <v>1353</v>
      </c>
      <c r="E87" s="47" t="s">
        <v>2450</v>
      </c>
      <c r="F87" s="48" t="s">
        <v>1240</v>
      </c>
      <c r="G87" s="47" t="s">
        <v>1222</v>
      </c>
      <c r="H87" s="47" t="s">
        <v>1109</v>
      </c>
      <c r="I87" s="47" t="s">
        <v>1240</v>
      </c>
      <c r="J87" s="47"/>
      <c r="K87" s="47" t="s">
        <v>51</v>
      </c>
      <c r="L87" s="45" t="str">
        <f t="shared" si="1"/>
        <v>Walnut 0.5xNONx2500+mm #1 PC Z</v>
      </c>
    </row>
    <row r="88" spans="1:12" ht="13.5" customHeight="1">
      <c r="A88" s="43" t="s">
        <v>2550</v>
      </c>
      <c r="B88" s="43" t="s">
        <v>2547</v>
      </c>
      <c r="C88" s="43">
        <v>0.5</v>
      </c>
      <c r="D88" s="43" t="s">
        <v>1353</v>
      </c>
      <c r="E88" s="43" t="s">
        <v>2450</v>
      </c>
      <c r="F88" s="44" t="s">
        <v>1240</v>
      </c>
      <c r="G88" s="43" t="s">
        <v>1222</v>
      </c>
      <c r="H88" s="43" t="s">
        <v>1244</v>
      </c>
      <c r="I88" s="43" t="s">
        <v>1240</v>
      </c>
      <c r="J88" s="43"/>
      <c r="K88" s="43" t="s">
        <v>51</v>
      </c>
      <c r="L88" s="45" t="str">
        <f t="shared" si="1"/>
        <v>Walnut 0.5xNONx2500+mm #2 PC Z</v>
      </c>
    </row>
    <row r="89" spans="1:12" ht="13.5" customHeight="1">
      <c r="A89" s="43" t="s">
        <v>2551</v>
      </c>
      <c r="B89" s="43" t="s">
        <v>2547</v>
      </c>
      <c r="C89" s="43">
        <v>0.5</v>
      </c>
      <c r="D89" s="43" t="s">
        <v>1353</v>
      </c>
      <c r="E89" s="43" t="s">
        <v>2450</v>
      </c>
      <c r="F89" s="44" t="s">
        <v>1240</v>
      </c>
      <c r="G89" s="43" t="s">
        <v>1222</v>
      </c>
      <c r="H89" s="43" t="s">
        <v>49</v>
      </c>
      <c r="I89" s="43" t="s">
        <v>1240</v>
      </c>
      <c r="J89" s="43"/>
      <c r="K89" s="43" t="s">
        <v>51</v>
      </c>
      <c r="L89" s="45" t="str">
        <f t="shared" si="1"/>
        <v>Walnut 0.5xNONx2500+mm A PC Z</v>
      </c>
    </row>
    <row r="90" spans="1:12" ht="13.5" customHeight="1">
      <c r="A90" s="47" t="s">
        <v>2552</v>
      </c>
      <c r="B90" s="47" t="s">
        <v>2547</v>
      </c>
      <c r="C90" s="47">
        <v>0.5</v>
      </c>
      <c r="D90" s="47" t="s">
        <v>1353</v>
      </c>
      <c r="E90" s="47" t="s">
        <v>2450</v>
      </c>
      <c r="F90" s="48" t="s">
        <v>1240</v>
      </c>
      <c r="G90" s="47" t="s">
        <v>1222</v>
      </c>
      <c r="H90" s="47" t="s">
        <v>1633</v>
      </c>
      <c r="I90" s="47" t="s">
        <v>1240</v>
      </c>
      <c r="J90" s="47"/>
      <c r="K90" s="47" t="s">
        <v>51</v>
      </c>
      <c r="L90" s="45" t="str">
        <f t="shared" si="1"/>
        <v>Walnut 0.5xNONx2500+mm AA PC Z</v>
      </c>
    </row>
    <row r="91" spans="1:12" ht="13.5" customHeight="1">
      <c r="A91" s="49" t="s">
        <v>1144</v>
      </c>
      <c r="B91" s="47" t="s">
        <v>2092</v>
      </c>
      <c r="C91" s="47">
        <v>0.4</v>
      </c>
      <c r="D91" s="47" t="s">
        <v>1353</v>
      </c>
      <c r="E91" s="47" t="s">
        <v>2450</v>
      </c>
      <c r="F91" s="48" t="s">
        <v>1240</v>
      </c>
      <c r="G91" s="47" t="s">
        <v>1679</v>
      </c>
      <c r="H91" s="47" t="s">
        <v>1150</v>
      </c>
      <c r="I91" s="47" t="s">
        <v>1240</v>
      </c>
      <c r="J91" s="47"/>
      <c r="K91" s="47" t="s">
        <v>51</v>
      </c>
      <c r="L91" s="45" t="str">
        <f t="shared" si="1"/>
        <v>W.OAK 0.4xNONx2500+mm AB RIFT Z</v>
      </c>
    </row>
    <row r="92" spans="1:12" ht="13.5" customHeight="1">
      <c r="A92" s="49" t="s">
        <v>2553</v>
      </c>
      <c r="B92" s="47" t="s">
        <v>1562</v>
      </c>
      <c r="C92" s="47">
        <v>0.4</v>
      </c>
      <c r="D92" s="47" t="s">
        <v>1353</v>
      </c>
      <c r="E92" s="47" t="s">
        <v>2450</v>
      </c>
      <c r="F92" s="48" t="s">
        <v>1240</v>
      </c>
      <c r="G92" s="47" t="s">
        <v>1222</v>
      </c>
      <c r="H92" s="47" t="s">
        <v>1150</v>
      </c>
      <c r="I92" s="47" t="s">
        <v>1240</v>
      </c>
      <c r="J92" s="47"/>
      <c r="K92" s="47" t="s">
        <v>51</v>
      </c>
      <c r="L92" s="45" t="str">
        <f t="shared" si="1"/>
        <v>R.OAK 0.4xNONx2500+mm AB PC Z</v>
      </c>
    </row>
    <row r="93" spans="1:12" ht="13.5" customHeight="1">
      <c r="A93" s="49" t="s">
        <v>1145</v>
      </c>
      <c r="B93" s="47" t="s">
        <v>2092</v>
      </c>
      <c r="C93" s="47">
        <v>0.4</v>
      </c>
      <c r="D93" s="47" t="s">
        <v>1353</v>
      </c>
      <c r="E93" s="47" t="s">
        <v>2450</v>
      </c>
      <c r="F93" s="48" t="s">
        <v>1240</v>
      </c>
      <c r="G93" s="47" t="s">
        <v>1222</v>
      </c>
      <c r="H93" s="47" t="s">
        <v>49</v>
      </c>
      <c r="I93" s="47" t="s">
        <v>1240</v>
      </c>
      <c r="J93" s="47"/>
      <c r="K93" s="47" t="s">
        <v>51</v>
      </c>
      <c r="L93" s="45" t="str">
        <f t="shared" si="1"/>
        <v>W.OAK 0.4xNONx2500+mm A PC Z</v>
      </c>
    </row>
    <row r="94" spans="1:12" ht="13.5" customHeight="1">
      <c r="A94" s="49" t="s">
        <v>1146</v>
      </c>
      <c r="B94" s="47" t="s">
        <v>2092</v>
      </c>
      <c r="C94" s="47">
        <v>0.4</v>
      </c>
      <c r="D94" s="47" t="s">
        <v>1353</v>
      </c>
      <c r="E94" s="47" t="s">
        <v>2450</v>
      </c>
      <c r="F94" s="48" t="s">
        <v>1240</v>
      </c>
      <c r="G94" s="47" t="s">
        <v>1222</v>
      </c>
      <c r="H94" s="47" t="s">
        <v>1137</v>
      </c>
      <c r="I94" s="47" t="s">
        <v>1240</v>
      </c>
      <c r="J94" s="47"/>
      <c r="K94" s="47" t="s">
        <v>51</v>
      </c>
      <c r="L94" s="45" t="str">
        <f t="shared" si="1"/>
        <v>W.OAK 0.4xNONx2500+mm B PC Z</v>
      </c>
    </row>
    <row r="95" spans="1:12" ht="13.5" customHeight="1">
      <c r="A95" s="49" t="s">
        <v>2554</v>
      </c>
      <c r="B95" s="47" t="s">
        <v>1359</v>
      </c>
      <c r="C95" s="47">
        <v>0.4</v>
      </c>
      <c r="D95" s="47" t="s">
        <v>1353</v>
      </c>
      <c r="E95" s="47" t="s">
        <v>2450</v>
      </c>
      <c r="F95" s="48" t="s">
        <v>1240</v>
      </c>
      <c r="G95" s="47" t="s">
        <v>1222</v>
      </c>
      <c r="H95" s="47" t="s">
        <v>49</v>
      </c>
      <c r="I95" s="47" t="s">
        <v>1240</v>
      </c>
      <c r="J95" s="47"/>
      <c r="K95" s="47" t="s">
        <v>51</v>
      </c>
      <c r="L95" s="45" t="str">
        <f t="shared" si="1"/>
        <v>CHERRY 0.4xNONx2500+mm A PC Z</v>
      </c>
    </row>
    <row r="96" spans="1:12" ht="13.5" customHeight="1">
      <c r="A96" s="49" t="s">
        <v>2555</v>
      </c>
      <c r="B96" s="47" t="s">
        <v>1852</v>
      </c>
      <c r="C96" s="47">
        <v>0.4</v>
      </c>
      <c r="D96" s="47" t="s">
        <v>1353</v>
      </c>
      <c r="E96" s="47" t="s">
        <v>2450</v>
      </c>
      <c r="F96" s="48" t="s">
        <v>1240</v>
      </c>
      <c r="G96" s="47" t="s">
        <v>1222</v>
      </c>
      <c r="H96" s="47" t="s">
        <v>49</v>
      </c>
      <c r="I96" s="47" t="s">
        <v>1240</v>
      </c>
      <c r="J96" s="47"/>
      <c r="K96" s="47" t="s">
        <v>51</v>
      </c>
      <c r="L96" s="45" t="str">
        <f t="shared" si="1"/>
        <v>W.MAPLE 0.4xNONx2500+mm A PC Z</v>
      </c>
    </row>
    <row r="97" spans="1:1" ht="13.5" customHeight="1">
      <c r="A97" s="24"/>
    </row>
  </sheetData>
  <autoFilter ref="A1:K96" xr:uid="{00000000-0009-0000-0000-000000000000}"/>
  <conditionalFormatting sqref="A2:A3">
    <cfRule type="duplicateValues" dxfId="35" priority="36"/>
  </conditionalFormatting>
  <conditionalFormatting sqref="A4:A5">
    <cfRule type="duplicateValues" dxfId="34" priority="34"/>
  </conditionalFormatting>
  <conditionalFormatting sqref="A6:A8">
    <cfRule type="duplicateValues" dxfId="33" priority="33"/>
  </conditionalFormatting>
  <conditionalFormatting sqref="A9:A10">
    <cfRule type="duplicateValues" dxfId="32" priority="32"/>
  </conditionalFormatting>
  <conditionalFormatting sqref="A11:A12">
    <cfRule type="duplicateValues" dxfId="31" priority="31"/>
  </conditionalFormatting>
  <conditionalFormatting sqref="A13:A14">
    <cfRule type="duplicateValues" dxfId="30" priority="30"/>
  </conditionalFormatting>
  <conditionalFormatting sqref="A15:A16">
    <cfRule type="duplicateValues" dxfId="29" priority="29"/>
  </conditionalFormatting>
  <conditionalFormatting sqref="A17:A18">
    <cfRule type="duplicateValues" dxfId="28" priority="28"/>
  </conditionalFormatting>
  <conditionalFormatting sqref="A19:A20">
    <cfRule type="duplicateValues" dxfId="27" priority="27"/>
  </conditionalFormatting>
  <conditionalFormatting sqref="A21:A22">
    <cfRule type="duplicateValues" dxfId="26" priority="26"/>
  </conditionalFormatting>
  <conditionalFormatting sqref="A23:A24">
    <cfRule type="duplicateValues" dxfId="25" priority="25"/>
  </conditionalFormatting>
  <conditionalFormatting sqref="A25:A26">
    <cfRule type="duplicateValues" dxfId="24" priority="24"/>
  </conditionalFormatting>
  <conditionalFormatting sqref="A27:A28">
    <cfRule type="duplicateValues" dxfId="23" priority="23"/>
  </conditionalFormatting>
  <conditionalFormatting sqref="A29:A30">
    <cfRule type="duplicateValues" dxfId="22" priority="22"/>
  </conditionalFormatting>
  <conditionalFormatting sqref="A31:A32">
    <cfRule type="duplicateValues" dxfId="21" priority="21"/>
  </conditionalFormatting>
  <conditionalFormatting sqref="A33:A34">
    <cfRule type="duplicateValues" dxfId="20" priority="20"/>
  </conditionalFormatting>
  <conditionalFormatting sqref="A35:A36">
    <cfRule type="duplicateValues" dxfId="19" priority="19"/>
  </conditionalFormatting>
  <conditionalFormatting sqref="A37:A40">
    <cfRule type="duplicateValues" dxfId="18" priority="18"/>
  </conditionalFormatting>
  <conditionalFormatting sqref="A41:A42">
    <cfRule type="duplicateValues" dxfId="17" priority="17"/>
  </conditionalFormatting>
  <conditionalFormatting sqref="A43:A44">
    <cfRule type="duplicateValues" dxfId="16" priority="16"/>
  </conditionalFormatting>
  <conditionalFormatting sqref="A45:A46">
    <cfRule type="duplicateValues" dxfId="15" priority="15"/>
  </conditionalFormatting>
  <conditionalFormatting sqref="A47:A48">
    <cfRule type="duplicateValues" dxfId="14" priority="14"/>
  </conditionalFormatting>
  <conditionalFormatting sqref="A49:A50">
    <cfRule type="duplicateValues" dxfId="13" priority="13"/>
  </conditionalFormatting>
  <conditionalFormatting sqref="A51:A52">
    <cfRule type="duplicateValues" dxfId="12" priority="12"/>
  </conditionalFormatting>
  <conditionalFormatting sqref="A53:A54">
    <cfRule type="duplicateValues" dxfId="11" priority="11"/>
  </conditionalFormatting>
  <conditionalFormatting sqref="A55:A56">
    <cfRule type="duplicateValues" dxfId="10" priority="10"/>
  </conditionalFormatting>
  <conditionalFormatting sqref="A57:A58">
    <cfRule type="duplicateValues" dxfId="9" priority="9"/>
  </conditionalFormatting>
  <conditionalFormatting sqref="A59:A60">
    <cfRule type="duplicateValues" dxfId="8" priority="8"/>
  </conditionalFormatting>
  <conditionalFormatting sqref="A61:A62">
    <cfRule type="duplicateValues" dxfId="7" priority="7"/>
  </conditionalFormatting>
  <conditionalFormatting sqref="A63:A64">
    <cfRule type="duplicateValues" dxfId="6" priority="6"/>
  </conditionalFormatting>
  <conditionalFormatting sqref="A65:A66">
    <cfRule type="duplicateValues" dxfId="5" priority="5"/>
  </conditionalFormatting>
  <conditionalFormatting sqref="A67:A68">
    <cfRule type="duplicateValues" dxfId="4" priority="4"/>
  </conditionalFormatting>
  <conditionalFormatting sqref="A69:A96">
    <cfRule type="duplicateValues" dxfId="3" priority="3"/>
  </conditionalFormatting>
  <conditionalFormatting sqref="A97">
    <cfRule type="duplicateValues" dxfId="2" priority="1"/>
    <cfRule type="duplicateValues" dxfId="1" priority="2"/>
  </conditionalFormatting>
  <conditionalFormatting sqref="A98:A1048576 A1">
    <cfRule type="duplicateValues" dxfId="0" priority="35"/>
  </conditionalFormatting>
  <printOptions horizontalCentered="1"/>
  <pageMargins left="3.8888888888888903E-2" right="0.156944444444444" top="0.59027777777777801" bottom="0.39305555555555599" header="0.511811023622047" footer="0.511811023622047"/>
  <pageSetup paperSize="9" scale="9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Instructions</vt:lpstr>
      <vt:lpstr>Assembly_BOM</vt:lpstr>
      <vt:lpstr>Transform_PVS</vt:lpstr>
      <vt:lpstr>Transform_PSP</vt:lpstr>
      <vt:lpstr>UV-CODE</vt:lpstr>
      <vt:lpstr>V</vt:lpstr>
      <vt:lpstr>M2</vt:lpstr>
      <vt:lpstr>'UV-CODE'!Print_Area</vt:lpstr>
      <vt:lpstr>'M2'!Print_Titles</vt:lpstr>
      <vt:lpstr>'UV-CODE'!Print_Titles</vt:lpstr>
      <vt:lpstr>V!Print_Titles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natthapat sahawat</cp:lastModifiedBy>
  <dcterms:created xsi:type="dcterms:W3CDTF">2026-07-09T08:48:59Z</dcterms:created>
  <dcterms:modified xsi:type="dcterms:W3CDTF">2026-07-16T07:59:43Z</dcterms:modified>
</cp:coreProperties>
</file>